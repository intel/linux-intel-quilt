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24226"/>
  <mc:AlternateContent xmlns:mc="http://schemas.openxmlformats.org/markup-compatibility/2006">
    <mc:Choice Requires="x15">
      <x15ac:absPath xmlns:x15ac="http://schemas.microsoft.com/office/spreadsheetml/2010/11/ac" url="https://intel-my.sharepoint.com/personal/ranjan_dutta_intel_com/Documents/Documents/Work/TECH DEBT 2025/Mar 2026/"/>
    </mc:Choice>
  </mc:AlternateContent>
  <xr:revisionPtr revIDLastSave="44" documentId="11_CD194F9CD9A8577C9B608924046B49169CD426F5" xr6:coauthVersionLast="47" xr6:coauthVersionMax="47" xr10:uidLastSave="{0FF97CCC-C698-4C9D-BB97-D8979451594D}"/>
  <bookViews>
    <workbookView xWindow="-108" yWindow="-108" windowWidth="23256" windowHeight="13896" firstSheet="1" activeTab="1" xr2:uid="{00000000-000D-0000-FFFF-FFFF00000000}"/>
  </bookViews>
  <sheets>
    <sheet name="Overall Summary" sheetId="1" r:id="rId1"/>
    <sheet name="Analysis" sheetId="7" r:id="rId2"/>
    <sheet name="Error Detection And Correction" sheetId="2" r:id="rId3"/>
    <sheet name="Low power subsystem (SPI, I2C)" sheetId="3" r:id="rId4"/>
    <sheet name="NMI" sheetId="4" r:id="rId5"/>
    <sheet name="Perf" sheetId="5" r:id="rId6"/>
    <sheet name="Security"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7" l="1"/>
  <c r="F7" i="7"/>
  <c r="H10" i="7"/>
  <c r="G10" i="7"/>
  <c r="E10" i="7"/>
  <c r="C10" i="7"/>
  <c r="I9" i="7"/>
  <c r="F9" i="7"/>
  <c r="F6" i="7"/>
  <c r="I5" i="7"/>
  <c r="F5" i="7"/>
  <c r="I4" i="7"/>
  <c r="F4" i="7"/>
  <c r="E9" i="1"/>
  <c r="D9" i="1"/>
  <c r="B9" i="1"/>
  <c r="I10" i="7" l="1"/>
  <c r="F10" i="7"/>
</calcChain>
</file>

<file path=xl/sharedStrings.xml><?xml version="1.0" encoding="utf-8"?>
<sst xmlns="http://schemas.openxmlformats.org/spreadsheetml/2006/main" count="1138" uniqueCount="445">
  <si>
    <t>Domain</t>
  </si>
  <si>
    <t>Feature</t>
  </si>
  <si>
    <t>Domain Name</t>
  </si>
  <si>
    <t>Patch Count</t>
  </si>
  <si>
    <t>Feature Name</t>
  </si>
  <si>
    <t>No-upstream</t>
  </si>
  <si>
    <t>Error Detection And Correction</t>
  </si>
  <si>
    <t>EDAC</t>
  </si>
  <si>
    <t>Low power subsystem (SPI, I2C)</t>
  </si>
  <si>
    <t>SPI,MFD</t>
  </si>
  <si>
    <t>SPI</t>
  </si>
  <si>
    <t>NMI</t>
  </si>
  <si>
    <t>NMI source</t>
  </si>
  <si>
    <t>Perf</t>
  </si>
  <si>
    <t>Security</t>
  </si>
  <si>
    <t>All Total</t>
  </si>
  <si>
    <t>Upstream</t>
  </si>
  <si>
    <t>No upstream plan</t>
  </si>
  <si>
    <t>Upstream track</t>
  </si>
  <si>
    <t>Patch</t>
  </si>
  <si>
    <t>Create Date</t>
  </si>
  <si>
    <t>Classification</t>
  </si>
  <si>
    <t>Commit</t>
  </si>
  <si>
    <t>Upstate</t>
  </si>
  <si>
    <t>Upstream Commit</t>
  </si>
  <si>
    <t>Upstream Kernel Version</t>
  </si>
  <si>
    <t>Upstream Status By</t>
  </si>
  <si>
    <t>Upstream Status Reason</t>
  </si>
  <si>
    <t>EDAC/igen6: Add two Intel Amston Lake SoCs support</t>
  </si>
  <si>
    <t>2026-01-05 09:37:43</t>
  </si>
  <si>
    <t>Public</t>
  </si>
  <si>
    <t>7c2482ab2e036decdc6ae7e4523aef0434bb7b55</t>
  </si>
  <si>
    <t>upstreamed</t>
  </si>
  <si>
    <t>41ca2155d62b0b0d217f59e1bce18362d0c2446f</t>
  </si>
  <si>
    <t>v7.0-rc1</t>
  </si>
  <si>
    <t>EDAC/igen6: Add more Intel Panther Lake-H SoCs support</t>
  </si>
  <si>
    <t>2025-11-26 03:07:47</t>
  </si>
  <si>
    <t>a8bcdd93e39ab17f37e21fab747b7af8be947a8f</t>
  </si>
  <si>
    <t>4c36e6106997b6ad8f4a279b4bdbca3ed6f53c6c</t>
  </si>
  <si>
    <t>lili.li@intel.com</t>
  </si>
  <si>
    <t>FR: https://jira.devtools.intel.com/browse/LFE-15113FR: https://jira.devtools.intel.com/browse/LFE-15113</t>
  </si>
  <si>
    <t>EDAC/ieh: Add I/O device EDAC driver for Intel CPUs with IEH</t>
  </si>
  <si>
    <t>2025-01-08 08:03:48</t>
  </si>
  <si>
    <t>0b3504e91acaae6776edb6116235d631f3f171b7</t>
  </si>
  <si>
    <t>no upstream</t>
  </si>
  <si>
    <t>jie.wang@intel.com</t>
  </si>
  <si>
    <t>This patch is for TGL and it will not be submitted upstream</t>
  </si>
  <si>
    <t>EDAC/igen6: Add registration APIs for In-Band ECC error notification</t>
  </si>
  <si>
    <t>2023-07-26 10:59:21</t>
  </si>
  <si>
    <t>6c0b305e51ee3384818cb9a74faea70c8c508797</t>
  </si>
  <si>
    <t>x86/mce: Add MCACOD code for generic I/O error</t>
  </si>
  <si>
    <t>2023-03-22 00:09:44</t>
  </si>
  <si>
    <t>76736ed9662483ad2aa882c640b5a7396a21ecd3</t>
  </si>
  <si>
    <t>This patch is for TGL and it will not be submitted upstream.</t>
  </si>
  <si>
    <t>EDAC/ieh: Add I/O device EDAC support for Intel Tiger Lake-H SoC</t>
  </si>
  <si>
    <t>2024-06-12 03:17:03</t>
  </si>
  <si>
    <t>a9600cecf2c8040d56e46251936cee95634e3f32</t>
  </si>
  <si>
    <t>EDAC/igen6: Make masks of {MCHBAR, TOM, TOUUD, ECC_ERROR_LOG} configurable</t>
  </si>
  <si>
    <t>c2bce9fb6e60ed9ecb21ad3df2142938b6c85234</t>
  </si>
  <si>
    <t>4b720906efa34e1f68e3b2f7061c294e1889525b</t>
  </si>
  <si>
    <t>mfd: intel-lpss: Add Intel Nova Lake PCH LPSS IDs</t>
  </si>
  <si>
    <t>2025-06-24 01:21:27</t>
  </si>
  <si>
    <t>66d3f07dfca39ca369c1e86d4b71fac6e34fe0f9</t>
  </si>
  <si>
    <t>cefd793fa17de708d043adab50e7f96f414b0f1d</t>
  </si>
  <si>
    <t>junjie.cao@intel.com</t>
  </si>
  <si>
    <t>Align with recent update for IOTG-NEXT kernel. 
All patches can be found in LKML, sure to be public.</t>
  </si>
  <si>
    <t>SPI MFD</t>
  </si>
  <si>
    <t>mtd: core: Don't fail mtd_device_parse_register() if OTP is unsupported</t>
  </si>
  <si>
    <t>2024-04-17 07:06:18</t>
  </si>
  <si>
    <t>8259bfb4a30e79cddf2b6f6d868ee81bf42592c2</t>
  </si>
  <si>
    <t>debug patch，
From Mika "They are just random crap that is nor really needed for upstream but may be useable inside. I'll drop them at some point."Align with recent update for IOTG-NEXT kernel. 
All patches can be found in LKML, sure to be public.</t>
  </si>
  <si>
    <t>pinctrl: intel: platform: Add Nova Lake to the list of supported</t>
  </si>
  <si>
    <t>2026-01-16 11:08:05</t>
  </si>
  <si>
    <t>ad47e12572e6f4bea3a3c76d76417d8a168c9bef</t>
  </si>
  <si>
    <t>069bb6f69afadcea3ac5e3e00af45e8519de380a</t>
  </si>
  <si>
    <t>KVM: selftests: Add the 2nd VM exit controls MSR to the hidden VMX MSR list</t>
  </si>
  <si>
    <t>2026-02-28 02:10:00</t>
  </si>
  <si>
    <t>016d652fc5b29ddbf2af0371464a8d915014a901</t>
  </si>
  <si>
    <t>intel review</t>
  </si>
  <si>
    <t>x86/cea: Use array indexing to simplify exception stack access</t>
  </si>
  <si>
    <t>2025-12-01 07:55:43</t>
  </si>
  <si>
    <t>0a2d07c0a0eaf0c06638492fbeb34f1e787e1aad</t>
  </si>
  <si>
    <t>x86/cpufeatures: Add the CPUID feature bit for NMI-source reporting</t>
  </si>
  <si>
    <t>2026-01-30 08:43:19</t>
  </si>
  <si>
    <t>0f2ac85c53615e41b087112a9ce50448039ba541</t>
  </si>
  <si>
    <t>KVM: selftests: Run debug_regs test with FRED enabled</t>
  </si>
  <si>
    <t>2025-04-22 06:19:18</t>
  </si>
  <si>
    <t>0f4cad5f8f091247d4263dbb20bcddbfb8227f18</t>
  </si>
  <si>
    <t>KVM: VMX: Virtualize FRED nested exception tracking</t>
  </si>
  <si>
    <t>1fd4c315c887afd33b081f79411f37990ab69c4b</t>
  </si>
  <si>
    <t>KVM: VMX: Dump FRED context in dump_vmcs()</t>
  </si>
  <si>
    <t>33c17c8a678c4f74e21e31da54a573b1116a76ce</t>
  </si>
  <si>
    <t>KVM: x86: Advertise support for FRED</t>
  </si>
  <si>
    <t>2025-07-15 08:06:10</t>
  </si>
  <si>
    <t>37f7922757646f430cfb7172ed318ee755bcfcc2</t>
  </si>
  <si>
    <t>KVM: nVMX: Enable support for secondary VM exit controls</t>
  </si>
  <si>
    <t>3c4340b46be803fd9826d67234aa5c873b915199</t>
  </si>
  <si>
    <t>x86/fred: Allow variable-sized event frame</t>
  </si>
  <si>
    <t>2025-09-15 08:59:53</t>
  </si>
  <si>
    <t>3eae5eb1a1258a4a88b2bf4dc27b5ba036bf148e</t>
  </si>
  <si>
    <t>hongli.li@intel.com</t>
  </si>
  <si>
    <t>R&amp;D patch, DO NOT OSV</t>
  </si>
  <si>
    <t>x86: Remove the padding space at top of the init stack</t>
  </si>
  <si>
    <t>2025-06-17 08:00:39</t>
  </si>
  <si>
    <t>4c73bff08243f77b2208cfbecd25f7374467321a</t>
  </si>
  <si>
    <t>x86/nmi: Add support to handle NMIs with source information</t>
  </si>
  <si>
    <t>4f2765d68eace50c88c88bb6e61c66a1da564cbd</t>
  </si>
  <si>
    <t>KVM: selftests: Add fred exception tests</t>
  </si>
  <si>
    <t>5d8a978fd0b94348a36051a722c68184c89bba04</t>
  </si>
  <si>
    <t>KVM: nVMX: Handle FRED VMCS fields in nested VMX context</t>
  </si>
  <si>
    <t>2026-02-03 03:08:27</t>
  </si>
  <si>
    <t>6f0a02659c5c7892c0c95726e090708c4d221cb2</t>
  </si>
  <si>
    <t>x86/cea: Export __this_cpu_ist_top_va() to KVM</t>
  </si>
  <si>
    <t>767d92bd67ff010324709099ee667c413c356dcd</t>
  </si>
  <si>
    <t>KVM: VMX: Virtualize FRED event_data</t>
  </si>
  <si>
    <t>2025-12-01 08:25:36</t>
  </si>
  <si>
    <t>794773d688f3935ed71b2bfd94e52044738e2ca9</t>
  </si>
  <si>
    <t>KVM: VMX: Set FRED MSR intercepts</t>
  </si>
  <si>
    <t>7aeb671ae79300b7b822e236833e2fe9797357c8</t>
  </si>
  <si>
    <t>KVM: VMX: Save/restore guest FRED RSP0</t>
  </si>
  <si>
    <t>80836369d3e725cf23a98b4c0b243d41d532f951</t>
  </si>
  <si>
    <t>x86/fred: Pass event data to the NMI entry point from KVM</t>
  </si>
  <si>
    <t>891c24d84882a4677651490ed99beae8da181461</t>
  </si>
  <si>
    <t>x86/nmi: Include source information in NMI handler tracepoint</t>
  </si>
  <si>
    <t>962836deab711ec13232b3d87113535311b86aea</t>
  </si>
  <si>
    <t>x86/fred: Enable FRED by default</t>
  </si>
  <si>
    <t>9b752e762948e9b7562ac1e8d9caa02e5012f7cc</t>
  </si>
  <si>
    <t>KVM: VMX: Disable FRED if FRED consistency checks fail</t>
  </si>
  <si>
    <t>2025-09-17 07:20:15</t>
  </si>
  <si>
    <t>a52e1b213a532ac0c60ac4082c704bd12bf4c39a</t>
  </si>
  <si>
    <t>task_stack.h: Add a new helper task_empty_stack_pointer()</t>
  </si>
  <si>
    <t>a77f80ddc410835529a2ac8cf788531b69f7ed04</t>
  </si>
  <si>
    <t>x86/nmi: Enable NMI-source for IPIs delivered as NMIs</t>
  </si>
  <si>
    <t>ad31cdcff3010313f8a6f460b76efecb44e7ea99</t>
  </si>
  <si>
    <t>x86/nmi: Extend the registration interface to include the NMI-source vector</t>
  </si>
  <si>
    <t>af30d6a93cbc10daf0e17233d6fc021ee5092557</t>
  </si>
  <si>
    <t>KVM: x86: Mark CR4.FRED as not reserved</t>
  </si>
  <si>
    <t>b6467455735a56306a78058fea9647b2f8ffca5e</t>
  </si>
  <si>
    <t>KVM: nVMX: Validate FRED-related VMCS fields</t>
  </si>
  <si>
    <t>bcf23d6e54a973740d4ca64952a224d226609f6a</t>
  </si>
  <si>
    <t>x86/nmi: Assign and register NMI-source vectors</t>
  </si>
  <si>
    <t>c06d4d0b39da6ba680fe17d50edd08e09d5fc4c5</t>
  </si>
  <si>
    <t>KVM: nVMX: Guard SHADOW_FIELD_R[OW] macros with VMX feature checks</t>
  </si>
  <si>
    <t>2025-04-23 03:55:52</t>
  </si>
  <si>
    <t>c2a1f89c130f29866a8fb28062314fb27001cbbf</t>
  </si>
  <si>
    <t>KVM: selftests: Add a new VM guest mode to run user level code</t>
  </si>
  <si>
    <t>c861a422f89ad31561264e72fc22c033c64f4b83</t>
  </si>
  <si>
    <t>KVM: x86: Save/restore the nested flag of an exception</t>
  </si>
  <si>
    <t>cbc07f4568b4d0c01a12c12aecff76275281c374</t>
  </si>
  <si>
    <t>KVM: x86: Add a helper to detect if FRED is enabled for a vCPU</t>
  </si>
  <si>
    <t>2024-11-20 06:32:57</t>
  </si>
  <si>
    <t>d344d7da94c0eb6beffc1fd15aa527ce0ca2711f</t>
  </si>
  <si>
    <t>KVM: nVMX: Enable VMX FRED controls</t>
  </si>
  <si>
    <t>d5c204fa8f00af8fd8f8663f14cf8851e8892ee2</t>
  </si>
  <si>
    <t>EDAC/ieh: Fix a compile error</t>
  </si>
  <si>
    <t>2024-06-13 07:24:01</t>
  </si>
  <si>
    <t>d7f11a46a4b94c285769e30d54eceda896ff89a5</t>
  </si>
  <si>
    <t>KVM: VMX: Initialize VMCS FRED fields</t>
  </si>
  <si>
    <t>dca8b151323b03df356bd9f23abe4bedf2245d78</t>
  </si>
  <si>
    <t>KVM: VMX: Enable support for secondary VM exit controls</t>
  </si>
  <si>
    <t>dee4b727c543d41d8c3856656018dbe22d8082d0</t>
  </si>
  <si>
    <t>KVM: VMX: Implement NMI source injection</t>
  </si>
  <si>
    <t>e032fdbb87254735cc415c1de4d14f4c10bb2905</t>
  </si>
  <si>
    <t>x86/fred: Provide separate IRQ vs. NMI wrappers for entry from KVM</t>
  </si>
  <si>
    <t>e3fc7f15fbb8edb66b5ad25b489e37010c9fb018</t>
  </si>
  <si>
    <t>x86/nmi: Print source information with the unknown NMI console message</t>
  </si>
  <si>
    <t>e5b0bd2d7eb40c712a992a826dee06e97e6e4f7b</t>
  </si>
  <si>
    <t>KVM: VMX: Initialize VM entry/exit FRED controls in vmcs_config</t>
  </si>
  <si>
    <t>e85f7ae8e31ccdd96afc52deabb53d185c016601</t>
  </si>
  <si>
    <t>x86/nmi: Prepare for the new NMI-source vector encoding</t>
  </si>
  <si>
    <t>e8eefea1421403d954bda9c47a6e7026df3ab1b2</t>
  </si>
  <si>
    <t>KVM: x86: Advise NMI Source to user space</t>
  </si>
  <si>
    <t>ebf126d1a7458566aeba30c8abea73c96712c87d</t>
  </si>
  <si>
    <t>perf/x86: Enable NMI-source reporting for perfmon</t>
  </si>
  <si>
    <t>ed71c0e4996e48c0d8b875559022ea83856284db</t>
  </si>
  <si>
    <t>x86/cea: Prefix event stack names with ESTACK_</t>
  </si>
  <si>
    <t>fa5199090f1e07dd09adc7266999a5a7e084464e</t>
  </si>
  <si>
    <t>KVM: VMX: Add support for saving and restoring FRED MSRs</t>
  </si>
  <si>
    <t>fc9679513be2466606cbd4f7ae9c43a39059e675</t>
  </si>
  <si>
    <t>perf/x86: Fix typos and inconsistent indents in perf_event header</t>
  </si>
  <si>
    <t>2023-12-05 10:31:21</t>
  </si>
  <si>
    <t>0203bd67e64154730e0d54de816a956aa4ae789d</t>
  </si>
  <si>
    <t>lkml review</t>
  </si>
  <si>
    <t>KVM: x86/pmu: Disable RDPMC interception for compatible mediated vPMU</t>
  </si>
  <si>
    <t>2026-01-07 02:16:53</t>
  </si>
  <si>
    <t>0309163ccb6f8c29a510667ea2fc4290e1adc4ed</t>
  </si>
  <si>
    <t>80624272129eacc10cecb30f004cfa611be04770</t>
  </si>
  <si>
    <t>perf/x86: Add support for XMM registers in non-PEBS and REGS_USER</t>
  </si>
  <si>
    <t>0375ceb2def4454b9bb51ae58a3e6c277221d19a</t>
  </si>
  <si>
    <t>perf/x86/intel/uncore: Add dual PCI/MSR discovery support</t>
  </si>
  <si>
    <t>065bda1df5eeb0fce8f1e5bb388dea9b59a067cc</t>
  </si>
  <si>
    <t>perf/x86/intel/uncore: Add missing PMON units for Panther Lake</t>
  </si>
  <si>
    <t>072d7f93bc51d350602460a18b1e988166c037f0</t>
  </si>
  <si>
    <t>46da08a2bb4d07874990579235ff87b41911a412</t>
  </si>
  <si>
    <t>perf/x86: Introduce x86-specific x86_pmu_setup_regs_data()</t>
  </si>
  <si>
    <t>095c78836c7d1a0b0ea2b6836d02aeee76a921d1</t>
  </si>
  <si>
    <t>perf/x86/intel/uncore: Add IMH PMON support for Diamond Rapids</t>
  </si>
  <si>
    <t>0cefaca84579ff14249d23a186575e48519ef1ca</t>
  </si>
  <si>
    <t>6daf2c35b835da211bf70606e9f74d1af98613a9</t>
  </si>
  <si>
    <t>KVM: VMX: Drop unused @entry_only param from add_atomic_switch_msr()</t>
  </si>
  <si>
    <t>0e9de2745a28deed7f4f658b810e7fc9a5aa205e</t>
  </si>
  <si>
    <t>84ac00042a28642cc974a0a250fab7df050a5dd5</t>
  </si>
  <si>
    <t>perf/x86/intel: Support newly introduced 4 OMR MSRs for DMR &amp; NVL</t>
  </si>
  <si>
    <t>2025-10-29 10:15:44</t>
  </si>
  <si>
    <t>0f229dc82a2955a106a86fcc6c09972dc62f16e1</t>
  </si>
  <si>
    <t>perf/x86: Enable XMM sampling using sample_simd_vec_reg_* fields</t>
  </si>
  <si>
    <t>10a92f99185a1a1515ffc9f60d5e9d09cd5b2f2e</t>
  </si>
  <si>
    <t>perf/x86: Replace magic numbers with macros for attr_rdpmc</t>
  </si>
  <si>
    <t>2024-10-17 01:09:29</t>
  </si>
  <si>
    <t>12a25e1f3530cf07f3cc7a9e7daec4ec5507f3b6</t>
  </si>
  <si>
    <t>8c74e4e3e0596950554962229582260f1501d899</t>
  </si>
  <si>
    <t>KVM: VMX: Dedup code for removing MSR from VMCS's auto-load list</t>
  </si>
  <si>
    <t>175a146df4a118dde40dd9ae1e6e4bfa3dabeada</t>
  </si>
  <si>
    <t>0bd29379114b9c669cdabf7d6c08c0c1ea41861c</t>
  </si>
  <si>
    <t>perf/x86/intel/uncore: Update DMR uncore constraints preliminarily</t>
  </si>
  <si>
    <t>1775c79433387572b7c6144f0344d7126dc9fa89</t>
  </si>
  <si>
    <t>171b5292a82d04e6692f1b19573d15753f21e7fd</t>
  </si>
  <si>
    <t>KVM: x86/pmu: Disable interception of select PMU MSRs for mediated vPMUs</t>
  </si>
  <si>
    <t>19807cba994bc01d6c1567bf225a3a524a8eb554</t>
  </si>
  <si>
    <t>2904df6692f429853cf99b4b47c8592b2f49edaa</t>
  </si>
  <si>
    <t>KVM: x86/pmu: Introduce eventsel_hw to prepare for pmu event filtering</t>
  </si>
  <si>
    <t>2025-08-29 02:50:13</t>
  </si>
  <si>
    <t>1ac39d3470bff546fd85d308551ffd179e04c60b</t>
  </si>
  <si>
    <t>02918f0077925994b04be147875b6de8b63ca249</t>
  </si>
  <si>
    <t>KVM: VMX: Add mediated PMU support for CPUs without "save perf global ctrl"</t>
  </si>
  <si>
    <t>1ae0724129e8ec50fbef309a1ee4178713f49f09</t>
  </si>
  <si>
    <t>d374b89edbb9a8d552e03348f59287ff779b4c9d</t>
  </si>
  <si>
    <t>KVM: Add a simplified wrapper for registering perf callbacks</t>
  </si>
  <si>
    <t>1b4044390e2f55513b5deb2746624ae795ce365b</t>
  </si>
  <si>
    <t>4b24910c056995c0c0fa7c1b142696443b05fd8e</t>
  </si>
  <si>
    <t>KVM: x86/pmu: Implement Intel mediated PMU requirements and constraints</t>
  </si>
  <si>
    <t>1b8f76428ee3976192df2ee2323ab9fa2a1e3a82</t>
  </si>
  <si>
    <t>bfee4f07d88038f7e662652718e21c60b62ef3a1</t>
  </si>
  <si>
    <t>perf/x86/intel: Add support for PEBS memory auxiliary info field in DMR</t>
  </si>
  <si>
    <t>22d449765a14ef160fc0d498253f318efd9a4d0a</t>
  </si>
  <si>
    <t>d2bdcde9626cbea0c44a6aaa33b440c8adf81e09</t>
  </si>
  <si>
    <t>KVM: VMX: Dedup code for adding MSR to VMCS's auto list</t>
  </si>
  <si>
    <t>2740a2540e75c864939429c003619b919d61dacb</t>
  </si>
  <si>
    <t>c3d6a7210a4de909683a36779f5b8567f79a3688</t>
  </si>
  <si>
    <t>perf/x86/intel: Enable PERF_PMU_CAP_SIMD_REGS capability</t>
  </si>
  <si>
    <t>36f5538151b76902833d46b215a173adc385998f</t>
  </si>
  <si>
    <t>perf: Add generic exclude_guest support</t>
  </si>
  <si>
    <t>37991e9fb918844aadd4fe3e2c846550414bfa4d</t>
  </si>
  <si>
    <t>b9e52b11d2e5e403afaf69a7f8d6b29f8380ed38</t>
  </si>
  <si>
    <t>perf/x86/intel/uncore: Add CBB PMON support for Diamond Rapids</t>
  </si>
  <si>
    <t>37c22102b63500a977e821da30e5403083225a36</t>
  </si>
  <si>
    <t>66e2075426f3220857eb3987c803764c82cef851</t>
  </si>
  <si>
    <t>perf/x86/intel/cstate: Add Nova Lake support</t>
  </si>
  <si>
    <t>3a4da4ea2747a7419df5cedbb7ecd1bab673285f</t>
  </si>
  <si>
    <t>7e760ac4617b63628edd55a96be2fc85b7eaa435</t>
  </si>
  <si>
    <t>perf: Eliminate duplicate arch-specific functions definations</t>
  </si>
  <si>
    <t>3cf7228b3aa6b1b434b1daf1d72f41e064588014</t>
  </si>
  <si>
    <t>perf: Add APIs to load/put guest mediated PMU context</t>
  </si>
  <si>
    <t>410c0691f9745fdcff59a59ac56011d4915cdad9</t>
  </si>
  <si>
    <t>42457a7fb6cacca83be4deaf202ac3e45830daf2</t>
  </si>
  <si>
    <t>perf/x86/intel: Add support for PEBS memory auxiliary info field in NVL</t>
  </si>
  <si>
    <t>479a41744f480939ebfe9a1abbdfbcac574bc2d1</t>
  </si>
  <si>
    <t>7cd264d1972d13177acc1ac9fb11ee0a7003e2e6</t>
  </si>
  <si>
    <t>perf/x86: Enable OPMASK sampling using sample_simd_pred_reg_* fields</t>
  </si>
  <si>
    <t>47fe6631708106515d2e1a444b7b44c8579d49b2</t>
  </si>
  <si>
    <t>perf/x86/intel/cstate: Add Diamond Rapids support</t>
  </si>
  <si>
    <t>4acc68087a863cecf00e3c27956287daaaa3a1e4</t>
  </si>
  <si>
    <t>7ac422cf7b16ec524bcd8e017459e328a4103f63</t>
  </si>
  <si>
    <t>KVM: x86/pmu: Bypass perf checks when emulating mediated PMU counter accesses</t>
  </si>
  <si>
    <t>4e5a10bb2a38d564147ab55c17be7692b709c7da</t>
  </si>
  <si>
    <t>0ea0d6314870493ac723afefb6257be71f4c636f</t>
  </si>
  <si>
    <t>KVM: VMX: Set MSR index auto-load entry if and only if entry is "new"</t>
  </si>
  <si>
    <t>4f6904498def6945b02c9f0ea81e9f78cdc8b600</t>
  </si>
  <si>
    <t>0c4ff0866fc1b0bf8c1d8d5f27fedc6dd9c51183</t>
  </si>
  <si>
    <t>perf/x86/intel: Fix typo in comments of intel_put_event_constraints()</t>
  </si>
  <si>
    <t>2024-05-29 07:55:09</t>
  </si>
  <si>
    <t>51144ae2f68aec519bbce64a7e761920e8a383ef</t>
  </si>
  <si>
    <t>perf/x86: Enable eGPRs sampling using sample_regs_* fields</t>
  </si>
  <si>
    <t>5222812604bcc780c4fa21917041dee5d390d33f</t>
  </si>
  <si>
    <t>KVM: VMX: Bug the VM if either MSR auto-load list is full</t>
  </si>
  <si>
    <t>53235792cc1ca1b123fa3ee3d4bc075fdbc32a98</t>
  </si>
  <si>
    <t>2ed57bb8997610b33cb92c26ccb9a91b2966fff8</t>
  </si>
  <si>
    <t>KVM: x86/pmu: Elide WRMSRs when loading guest PMCs if values already match</t>
  </si>
  <si>
    <t>5a063b167cb649715b719b051060b38ddc9a8f75</t>
  </si>
  <si>
    <t>b0b6a8d3be16ea742bf835407e9968378c0c753c</t>
  </si>
  <si>
    <t>perf/x86/intel: Add core PMU support for DMR</t>
  </si>
  <si>
    <t>5a45f687242c24c68851f68238c5a1dd4cb80423</t>
  </si>
  <si>
    <t>perf: Add APIs to create/release mediated guest vPMUs</t>
  </si>
  <si>
    <t>5be05e161ccd69bacc87e234056093685f4b9e32</t>
  </si>
  <si>
    <t>eff95e170275d9e80b968f335cd03d0ac250d2d1</t>
  </si>
  <si>
    <t>perf/x86/msr: Make SMI and PPERF on by default</t>
  </si>
  <si>
    <t>2025-02-11 05:59:48</t>
  </si>
  <si>
    <t>5cf4a6311adeb84f60f8fef1e483eed2f4d20a39</t>
  </si>
  <si>
    <t>perf regs: Enable dumping of SIMD registers</t>
  </si>
  <si>
    <t>5e93d381a43b8508032d3ac3e7d2a94f24cc8dbc</t>
  </si>
  <si>
    <t>KVM: x86/pmu: Load/put mediated PMU context when entering/exiting guest</t>
  </si>
  <si>
    <t>612c5d262907d46ba0960d5752ed7e1b501ba18a</t>
  </si>
  <si>
    <t>56bb2736975068cc03648718bb8e50a456ce7173</t>
  </si>
  <si>
    <t>perf/x86/intel: Only check GP counters for PEBS constraints validation</t>
  </si>
  <si>
    <t>668e6452158f6d98e0109d0af579adc3b906e7d0</t>
  </si>
  <si>
    <t>perf/x86: Enable SSP sampling using sample_regs_* fields</t>
  </si>
  <si>
    <t>6a6f78bb972ddfee3b2cf2459d3805c2cb4a8c26</t>
  </si>
  <si>
    <t>perf parse-regs: Support new SIMD sampling format</t>
  </si>
  <si>
    <t>6d82eefe91119fb85906f196f30fd588c332c1f6</t>
  </si>
  <si>
    <t>perf/x86/intel: Add rdpmc-user-disable support</t>
  </si>
  <si>
    <t>6ec7cc53a316d75cb1e64d5d8a746a108e194ea8</t>
  </si>
  <si>
    <t>KVM: x86/pmu: Reprogram mediated PMU event selectors on event filter updates</t>
  </si>
  <si>
    <t>71cea63089c4a2488a79a10fc6ca7e482530f9d5</t>
  </si>
  <si>
    <t>3db871fe185baca66e78b56a230e236af40f1027</t>
  </si>
  <si>
    <t>KVM: x86/pmu: Register PMI handler for mediated vPMU</t>
  </si>
  <si>
    <t>7bceebd60901c086a14907055746c7018f31896a</t>
  </si>
  <si>
    <t>1c4ba7286afba9842f295fc7a3dbe74acc6a92af</t>
  </si>
  <si>
    <t>perf/x86/intel: Add missing branch counters constraint apply</t>
  </si>
  <si>
    <t>8016f7155164e5c32f67f72e00e183e03c20dd93</t>
  </si>
  <si>
    <t>KVM: x86/pmu: Always stuff GuestOnly=1,HostOnly=0 for mediated PMCs on AMD</t>
  </si>
  <si>
    <t>848aa9494f0c50c6bbda674e000b209befe3b68f</t>
  </si>
  <si>
    <t>a2f4ba534cc5d681a2d017c82e282bb32d8447df</t>
  </si>
  <si>
    <t>perf/x86/core: Plumb mediated PMU capability from x86_pmu to x86_pmu_cap</t>
  </si>
  <si>
    <t>8a132b1c46e1a2c06920545e5389eb41ffd75044</t>
  </si>
  <si>
    <t>c8824a95d9673763a0a9d642f8c79b2162296923</t>
  </si>
  <si>
    <t>perf/x86/core: Do not set bit width for unavailable counters</t>
  </si>
  <si>
    <t>8cb4e1796f1845caeaf4ad54367c19159b71e768</t>
  </si>
  <si>
    <t>b456a6ba5756b6fb7e651775343e713bd08418e7</t>
  </si>
  <si>
    <t>perf Documentation: Correct branch stack sampling call-stack option</t>
  </si>
  <si>
    <t>948caf5954f2b78ff011faa7dcaa5d6cd79ac0b1</t>
  </si>
  <si>
    <t>d1f9dc67238e716a4cc0ffd7014f501775d5f3ed</t>
  </si>
  <si>
    <t>perf: Move and rename has_extended_regs() for ARCH-specific use</t>
  </si>
  <si>
    <t>950aa856e67afaa0bf9f62f61dd0e44cc8f2fe43</t>
  </si>
  <si>
    <t>perf: Move security_perf_event_free() call to __free_event()</t>
  </si>
  <si>
    <t>9675b5725845593c53edf28d3d890e67c3e50d24</t>
  </si>
  <si>
    <t>991bdf7e9d6cc74c1de215d1a05c23ff61076bf0</t>
  </si>
  <si>
    <t>KVM: x86/pmu: Add perf_capabilities field in struct kvm_host_values{}</t>
  </si>
  <si>
    <t>96d731e1e9e8ea874bcd7f7d961144341c5b66e7</t>
  </si>
  <si>
    <t>perf/x86/intel/uncore: Fix die ID init and look up bugs</t>
  </si>
  <si>
    <t>9a32762237dd81fb21cf363d1ef4b8141badc7d3</t>
  </si>
  <si>
    <t>KVM: VMX: Compartmentalize adding MSRs to host vs. guest auto-load list</t>
  </si>
  <si>
    <t>9ad5c1691f1287c97c99d7b94a3494e9ca380ee4</t>
  </si>
  <si>
    <t>2239d137a71d77c7610434473b0c8cfde90d4116</t>
  </si>
  <si>
    <t>perf/x86/intel/cstate: Add Wildcat Lake support</t>
  </si>
  <si>
    <t>9ca2e04114f5bd20d8d0b80bdc2235026c84c286</t>
  </si>
  <si>
    <t>6d4b8d052ff22742c3980fa45f26b0969a9b6163</t>
  </si>
  <si>
    <t>KVM: x86/pmu: Expose enable_mediated_pmu parameter to user space</t>
  </si>
  <si>
    <t>9e441adf90cd3c3159c8810f5b0e03ca8cbcf1db</t>
  </si>
  <si>
    <t>860bcb1021f5234820592853d56ca12f69e9c81f</t>
  </si>
  <si>
    <t>KVM: x86/pmu: Load/save GLOBAL_CTRL via entry/exit fields for mediated PMU</t>
  </si>
  <si>
    <t>a280ce138c133430e322eba87bf0b3e62b9b87a8</t>
  </si>
  <si>
    <t>d3ba32d1ff2a206621475325c009ab5b51882de1</t>
  </si>
  <si>
    <t>perf: Add a EVENT_GUEST flag</t>
  </si>
  <si>
    <t>a406a817cb65194ad82f29384503b554f857e67b</t>
  </si>
  <si>
    <t>4593b4b6e218a0f21afbacc8124cf469d2d04094</t>
  </si>
  <si>
    <t>perf/x86/intel/uncore: Skip discovery table for offline dies</t>
  </si>
  <si>
    <t>a596cd30277ac4591213246b2adac8da9ee8430f</t>
  </si>
  <si>
    <t>KVM: x86/pmu: Snapshot host (i.e. perf's) reported PMU capabilities</t>
  </si>
  <si>
    <t>2026-01-21 03:25:58</t>
  </si>
  <si>
    <t>a5aff18e1e704d3fe92f2ad6b378a9f9349f90ef</t>
  </si>
  <si>
    <t>51f34b1e650fc5843530266cea4341750bd1ae37</t>
  </si>
  <si>
    <t>v6.18-rc1</t>
  </si>
  <si>
    <t>perf/x86/intel/uncore: Add freerunning event descriptor helper macro</t>
  </si>
  <si>
    <t>a8cc8d8450a9706b92e8b3d159085569e4ec0ffc</t>
  </si>
  <si>
    <t>8a4bd1c0d6bb64ab4d9e94d83c40326356421a73</t>
  </si>
  <si>
    <t>perf/x86/intel/uncore: Add Nova Lake support</t>
  </si>
  <si>
    <t>abed3162b51ee977287f054e56f41b3f1d406a22</t>
  </si>
  <si>
    <t>e7d5f2ea0923c5e49ccf94cdaab74a08c865115e</t>
  </si>
  <si>
    <t>perf evsel: Update the hint for the usage of the load latency event</t>
  </si>
  <si>
    <t>2022-09-02 02:25:18</t>
  </si>
  <si>
    <t>ac7e0bafbe8f43bd47bf93ebf97d3f7bf2126ceb</t>
  </si>
  <si>
    <t>x86/fpu/xstate: Add xsaves_nmi() helper</t>
  </si>
  <si>
    <t>acb65d61710e309ae4a591a40095e6d6fc154901</t>
  </si>
  <si>
    <t>perf/x86/intel/uncore: Support IIO free-running counters on DMR</t>
  </si>
  <si>
    <t>acf3fd98fdb142d446bd51ebd4b223e74f659ef5</t>
  </si>
  <si>
    <t>d8987048f6655b38453d00782a256179f082b79c</t>
  </si>
  <si>
    <t>perf headers: Sync with the kernel headers</t>
  </si>
  <si>
    <t>af33570fd5dbd61ec75bdfac1c96bbfe09db395a</t>
  </si>
  <si>
    <t>KVM: x86/pmu: Implement AMD mediated PMU requirements</t>
  </si>
  <si>
    <t>b1b97114a1e6aeb80fa66d8aa082bbd602b9bb17</t>
  </si>
  <si>
    <t>9ba0bb4ae76a8ee037257499165a4370306c0eac</t>
  </si>
  <si>
    <t>perf/x86: Activate back-to-back NMI detection for arch-PEBS induced NMIs</t>
  </si>
  <si>
    <t>b1bd2c183b20c797908270a8cd7cccf5e656b6d6</t>
  </si>
  <si>
    <t>perf pmu: Relax uncore wildcard matching to allow numeric suffix</t>
  </si>
  <si>
    <t>b37dee68310f21ed1ddf7d1291852a2934b0ca07</t>
  </si>
  <si>
    <t>2246c24426fbc1069cb2a47e0624ccffe5f2627b</t>
  </si>
  <si>
    <t>KVM: nVMX: Disable PMU MSR interception as appropriate while running L2</t>
  </si>
  <si>
    <t>b59d6d7f1f4d0a2b2a6b12b71f70287f99396ea1</t>
  </si>
  <si>
    <t>88ebc2a3199cb5f16aff20673ed97b63a4295989</t>
  </si>
  <si>
    <t>perf: Skip pmu_ctx based on event_type</t>
  </si>
  <si>
    <t>b9913b2f79ed552781ff926235436db77dcf6bba</t>
  </si>
  <si>
    <t>b825444b6179eb071e66ca3da5ac12d4dbd808d5</t>
  </si>
  <si>
    <t>perf tools: Refactor precise_ip fallback logic</t>
  </si>
  <si>
    <t>bbc9ea4c8b4c744852c526fc458213d126437fcc</t>
  </si>
  <si>
    <t>perf/x86: Use x86_perf_regs in the x86 nmi handler</t>
  </si>
  <si>
    <t>bd36e9a8c8a22b505111f80c837ef90a05a607ed</t>
  </si>
  <si>
    <t>perf/x86: Enable YMM sampling using sample_simd_vec_reg_* fields</t>
  </si>
  <si>
    <t>bd9f2f86060893bccdc6bef8910f06a0ff0ee054</t>
  </si>
  <si>
    <t>perf: Add sampling support for SIMD registers</t>
  </si>
  <si>
    <t>c15ad6bdde07b7199ebd86bfe0da5cd9fd63c4e6</t>
  </si>
  <si>
    <t>KVM: x86/pmu: Handle emulated instruction for mediated vPMU</t>
  </si>
  <si>
    <t>c1d888479dceb6c2edb8f4924ab6b4ceda0cfa6b</t>
  </si>
  <si>
    <t>283a5aa57b2223abf2f73afcc714c4d4553660f2</t>
  </si>
  <si>
    <t>perf/x86/intel: Enable arch-PEBS based SIMD/eGPRs/SSP sampling</t>
  </si>
  <si>
    <t>c2df5c214003019904554fed4cb2ce4bbd883d07</t>
  </si>
  <si>
    <t>perf: Clean up perf ctx time</t>
  </si>
  <si>
    <t>2025-12-05 03:40:29</t>
  </si>
  <si>
    <t>c8664eb07d99532abf4b3f8a3e87e0809f315af7</t>
  </si>
  <si>
    <t>f5c7de8f84a152d559256aa4d0fc953118b73ca4</t>
  </si>
  <si>
    <t>KVM: VMX: Initialize vmcs01.VM_EXIT_MSR_STORE_ADDR with list address</t>
  </si>
  <si>
    <t>d18decf76a6b0df70302ece3c5b6d19ed19b31fe</t>
  </si>
  <si>
    <t>9757a5aebcd6ca808d5b80831649438a017478ad</t>
  </si>
  <si>
    <t>KVM: x86/pmu: Disallow emulation in the fastpath if mediated PMCs are active</t>
  </si>
  <si>
    <t>d594ba4ced6812698db5a2563a218cfa14261472</t>
  </si>
  <si>
    <t>f7a65e58d64340c3c0e390ea4e1c4857cd451f1f</t>
  </si>
  <si>
    <t>perf/x86/amd: Support PERF_PMU_CAP_MEDIATED_VPMU for AMD host</t>
  </si>
  <si>
    <t>daa42e3b8e8219e74e8ddfc12741a0e1a12381fa</t>
  </si>
  <si>
    <t>65eb3a9a8a34fa9188e0ab5e657d84ce4fa242a7</t>
  </si>
  <si>
    <t>KVM: VMX: Drop intermediate "guest" field from msr_autostore</t>
  </si>
  <si>
    <t>dab55c12c7c396f7ce88d0f7b0d293e82b429740</t>
  </si>
  <si>
    <t>462f092dc55c0eb97da02dd0c773a4394850dd1b</t>
  </si>
  <si>
    <t>perf/x86: Remove helper perf_events_lapic_init() from x86_pmu_enable()</t>
  </si>
  <si>
    <t>de5cbed542baf87bb762a3e4eeac92ecb8e00f67</t>
  </si>
  <si>
    <t>KVM: nSVM: Disable PMU MSR interception as appropriate while running L2</t>
  </si>
  <si>
    <t>e5498e47ca685abceb88fabd300d15b485f4a66a</t>
  </si>
  <si>
    <t>3b36160d9406863812883c96c1efc8bc5c04e2cc</t>
  </si>
  <si>
    <t>KVM: nVMX: Add macros to simplify nested MSR interception setting</t>
  </si>
  <si>
    <t>ea194860588ed07bee6e54a44891c68e279f18be</t>
  </si>
  <si>
    <t>cb58327c4c8ad9e81d3a2f17adaf3ab57066f369</t>
  </si>
  <si>
    <t>perf/x86/intel: Support PERF_PMU_CAP_MEDIATED_VPMU</t>
  </si>
  <si>
    <t>ec9597079f0b9ee03e6fddf6aef4655d6fb214df</t>
  </si>
  <si>
    <t>4280d79587a3fd4bf9415705536fe385467c5f44</t>
  </si>
  <si>
    <t>KVM: x86/pmu: Insert #GP for invalid architectural PMU MSRs access</t>
  </si>
  <si>
    <t>ee1d9b5ede754c74e3eec490d634c355caddbc71</t>
  </si>
  <si>
    <t>perf/x86/core: Add APIs to switch to/from mediated PMI vector (for KVM)</t>
  </si>
  <si>
    <t>eef80f0aef400153fef15556ee55a49bde832db8</t>
  </si>
  <si>
    <t>560ac136f25da2da44a8b68d581adfdc8230b7e2</t>
  </si>
  <si>
    <t>KVM: nVMX: Don't update msr_autostore count when saving TSC for vmcs12</t>
  </si>
  <si>
    <t>f16e573876fa06ea47e49e27dd8ed14848977fa4</t>
  </si>
  <si>
    <t>58f21a01417f273b4246c885558c252e345681b3</t>
  </si>
  <si>
    <t>perf/x86: Enable ZMM sampling using sample_simd_vec_reg_* fields</t>
  </si>
  <si>
    <t>f6b45b459fb93f7f917cb6b0f53c4a315e5359b1</t>
  </si>
  <si>
    <t>perf/x86/core: Register a new vector for handling mediated guest PMIs</t>
  </si>
  <si>
    <t>f6dadb8e4633fdf421555182d2f2b663e9b28897</t>
  </si>
  <si>
    <t>a05385d84b2af64600fc84b027bea481e8f6261d</t>
  </si>
  <si>
    <t>KVM: x86/pmu: Start stubbing in mediated PMU support</t>
  </si>
  <si>
    <t>fbb5993c75adcb76e39ddce58132d87363e6cab0</t>
  </si>
  <si>
    <t>3e51822b2fdf695bda50c2c3f88d6ab022a9e6f3</t>
  </si>
  <si>
    <t>[v6.19-rc3] Add SECURITY.md file</t>
  </si>
  <si>
    <t>2025-11-07 04:25:06</t>
  </si>
  <si>
    <t>9b3572f4d0872a4691a9d9201cd1925f52d347ef</t>
  </si>
  <si>
    <t>Add updated TPR (TXT Protected Regions) support to kernel.</t>
  </si>
  <si>
    <t>2025-11-24 04:18:43</t>
  </si>
  <si>
    <t>e6b0efb2f933821fb76e9342c36ac18f6f531451</t>
  </si>
  <si>
    <t>blocked by ACPI API change, will start upstream once this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</si>
</sst>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theme="1"/>
      <name val="Calibri"/>
      <family val="2"/>
      <scheme val="minor"/>
    </font>
    <font>
      <b/>
      <sz val="10"/>
      <color theme="1"/>
      <name val="Calibri"/>
      <family val="2"/>
      <scheme val="minor"/>
    </font>
  </fonts>
  <fills count="11">
    <fill>
      <patternFill patternType="none"/>
    </fill>
    <fill>
      <patternFill patternType="gray125"/>
    </fill>
    <fill>
      <patternFill patternType="solid">
        <fgColor rgb="FFFFA400"/>
        <bgColor indexed="64"/>
      </patternFill>
    </fill>
    <fill>
      <patternFill patternType="solid">
        <fgColor rgb="FFFF9999"/>
        <bgColor indexed="64"/>
      </patternFill>
    </fill>
    <fill>
      <patternFill patternType="solid">
        <fgColor rgb="FF99CCFF"/>
        <bgColor indexed="64"/>
      </patternFill>
    </fill>
    <fill>
      <patternFill patternType="solid">
        <fgColor rgb="FFCCCCFF"/>
        <bgColor indexed="64"/>
      </patternFill>
    </fill>
    <fill>
      <patternFill patternType="solid">
        <fgColor rgb="FFFFEA00"/>
        <bgColor indexed="64"/>
      </patternFill>
    </fill>
    <fill>
      <patternFill patternType="solid">
        <fgColor rgb="FFCCFFCC"/>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9"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15">
    <xf numFmtId="0" fontId="0" fillId="0" borderId="0" xfId="0" applyAlignment="1">
      <alignment horizontal="left" vertical="center"/>
    </xf>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0" fillId="7" borderId="0" xfId="0" applyFill="1" applyAlignment="1">
      <alignment horizontal="left" vertical="center"/>
    </xf>
    <xf numFmtId="0" fontId="0" fillId="3" borderId="0" xfId="0" applyFill="1" applyAlignment="1">
      <alignment horizontal="left" vertical="center"/>
    </xf>
    <xf numFmtId="0" fontId="1" fillId="8" borderId="1" xfId="0" applyFont="1" applyFill="1" applyBorder="1" applyAlignment="1">
      <alignment horizontal="left" vertical="center"/>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MLT v6.19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Analysis!$F$3</c:f>
              <c:strCache>
                <c:ptCount val="1"/>
                <c:pt idx="0">
                  <c:v>Upstream</c:v>
                </c:pt>
              </c:strCache>
            </c:strRef>
          </c:tx>
          <c:spPr>
            <a:solidFill>
              <a:srgbClr val="00B050"/>
            </a:solidFill>
            <a:ln>
              <a:noFill/>
            </a:ln>
            <a:effectLst/>
          </c:spPr>
          <c:invertIfNegative val="0"/>
          <c:cat>
            <c:strRef>
              <c:f>Analysis!$D$4:$D$9</c:f>
              <c:strCache>
                <c:ptCount val="6"/>
                <c:pt idx="0">
                  <c:v>EDAC</c:v>
                </c:pt>
                <c:pt idx="1">
                  <c:v>SPI,MFD</c:v>
                </c:pt>
                <c:pt idx="2">
                  <c:v>SPI</c:v>
                </c:pt>
                <c:pt idx="3">
                  <c:v>NMI source</c:v>
                </c:pt>
                <c:pt idx="4">
                  <c:v>Perf</c:v>
                </c:pt>
                <c:pt idx="5">
                  <c:v>Security</c:v>
                </c:pt>
              </c:strCache>
            </c:strRef>
          </c:cat>
          <c:val>
            <c:numRef>
              <c:f>Analysis!$F$4:$F$9</c:f>
              <c:numCache>
                <c:formatCode>General</c:formatCode>
                <c:ptCount val="6"/>
                <c:pt idx="0">
                  <c:v>3</c:v>
                </c:pt>
                <c:pt idx="1">
                  <c:v>1</c:v>
                </c:pt>
                <c:pt idx="2">
                  <c:v>1</c:v>
                </c:pt>
                <c:pt idx="3">
                  <c:v>0</c:v>
                </c:pt>
                <c:pt idx="4">
                  <c:v>59</c:v>
                </c:pt>
                <c:pt idx="5">
                  <c:v>0</c:v>
                </c:pt>
              </c:numCache>
            </c:numRef>
          </c:val>
          <c:extLst>
            <c:ext xmlns:c16="http://schemas.microsoft.com/office/drawing/2014/chart" uri="{C3380CC4-5D6E-409C-BE32-E72D297353CC}">
              <c16:uniqueId val="{00000001-27E7-4D38-A20A-E84BC72AD51E}"/>
            </c:ext>
          </c:extLst>
        </c:ser>
        <c:ser>
          <c:idx val="3"/>
          <c:order val="3"/>
          <c:tx>
            <c:strRef>
              <c:f>Analysis!$H$3</c:f>
              <c:strCache>
                <c:ptCount val="1"/>
                <c:pt idx="0">
                  <c:v>No upstream plan</c:v>
                </c:pt>
              </c:strCache>
            </c:strRef>
          </c:tx>
          <c:spPr>
            <a:solidFill>
              <a:schemeClr val="accent4"/>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5-27E7-4D38-A20A-E84BC72AD51E}"/>
              </c:ext>
            </c:extLst>
          </c:dPt>
          <c:cat>
            <c:strRef>
              <c:f>Analysis!$D$4:$D$9</c:f>
              <c:strCache>
                <c:ptCount val="6"/>
                <c:pt idx="0">
                  <c:v>EDAC</c:v>
                </c:pt>
                <c:pt idx="1">
                  <c:v>SPI,MFD</c:v>
                </c:pt>
                <c:pt idx="2">
                  <c:v>SPI</c:v>
                </c:pt>
                <c:pt idx="3">
                  <c:v>NMI source</c:v>
                </c:pt>
                <c:pt idx="4">
                  <c:v>Perf</c:v>
                </c:pt>
                <c:pt idx="5">
                  <c:v>Security</c:v>
                </c:pt>
              </c:strCache>
            </c:strRef>
          </c:cat>
          <c:val>
            <c:numRef>
              <c:f>Analysis!$H$4:$H$9</c:f>
              <c:numCache>
                <c:formatCode>General</c:formatCode>
                <c:ptCount val="6"/>
                <c:pt idx="0">
                  <c:v>4</c:v>
                </c:pt>
                <c:pt idx="1">
                  <c:v>0</c:v>
                </c:pt>
                <c:pt idx="2">
                  <c:v>0</c:v>
                </c:pt>
                <c:pt idx="3">
                  <c:v>0</c:v>
                </c:pt>
                <c:pt idx="4">
                  <c:v>0</c:v>
                </c:pt>
                <c:pt idx="5">
                  <c:v>1</c:v>
                </c:pt>
              </c:numCache>
            </c:numRef>
          </c:val>
          <c:extLst>
            <c:ext xmlns:c16="http://schemas.microsoft.com/office/drawing/2014/chart" uri="{C3380CC4-5D6E-409C-BE32-E72D297353CC}">
              <c16:uniqueId val="{00000003-27E7-4D38-A20A-E84BC72AD51E}"/>
            </c:ext>
          </c:extLst>
        </c:ser>
        <c:ser>
          <c:idx val="4"/>
          <c:order val="4"/>
          <c:tx>
            <c:strRef>
              <c:f>Analysis!$I$3</c:f>
              <c:strCache>
                <c:ptCount val="1"/>
                <c:pt idx="0">
                  <c:v>Upstream track</c:v>
                </c:pt>
              </c:strCache>
            </c:strRef>
          </c:tx>
          <c:spPr>
            <a:solidFill>
              <a:srgbClr val="FFFF00"/>
            </a:solidFill>
            <a:ln>
              <a:noFill/>
            </a:ln>
            <a:effectLst/>
          </c:spPr>
          <c:invertIfNegative val="0"/>
          <c:cat>
            <c:strRef>
              <c:f>Analysis!$D$4:$D$9</c:f>
              <c:strCache>
                <c:ptCount val="6"/>
                <c:pt idx="0">
                  <c:v>EDAC</c:v>
                </c:pt>
                <c:pt idx="1">
                  <c:v>SPI,MFD</c:v>
                </c:pt>
                <c:pt idx="2">
                  <c:v>SPI</c:v>
                </c:pt>
                <c:pt idx="3">
                  <c:v>NMI source</c:v>
                </c:pt>
                <c:pt idx="4">
                  <c:v>Perf</c:v>
                </c:pt>
                <c:pt idx="5">
                  <c:v>Security</c:v>
                </c:pt>
              </c:strCache>
            </c:strRef>
          </c:cat>
          <c:val>
            <c:numRef>
              <c:f>Analysis!$I$4:$I$9</c:f>
              <c:numCache>
                <c:formatCode>General</c:formatCode>
                <c:ptCount val="6"/>
                <c:pt idx="0">
                  <c:v>0</c:v>
                </c:pt>
                <c:pt idx="1">
                  <c:v>1</c:v>
                </c:pt>
                <c:pt idx="2">
                  <c:v>0</c:v>
                </c:pt>
                <c:pt idx="3">
                  <c:v>44</c:v>
                </c:pt>
                <c:pt idx="4">
                  <c:v>35</c:v>
                </c:pt>
                <c:pt idx="5">
                  <c:v>1</c:v>
                </c:pt>
              </c:numCache>
            </c:numRef>
          </c:val>
          <c:extLst>
            <c:ext xmlns:c16="http://schemas.microsoft.com/office/drawing/2014/chart" uri="{C3380CC4-5D6E-409C-BE32-E72D297353CC}">
              <c16:uniqueId val="{00000004-27E7-4D38-A20A-E84BC72AD51E}"/>
            </c:ext>
          </c:extLst>
        </c:ser>
        <c:dLbls>
          <c:showLegendKey val="0"/>
          <c:showVal val="0"/>
          <c:showCatName val="0"/>
          <c:showSerName val="0"/>
          <c:showPercent val="0"/>
          <c:showBubbleSize val="0"/>
        </c:dLbls>
        <c:gapWidth val="150"/>
        <c:overlap val="100"/>
        <c:axId val="1569167808"/>
        <c:axId val="1569171648"/>
        <c:extLst>
          <c:ext xmlns:c15="http://schemas.microsoft.com/office/drawing/2012/chart" uri="{02D57815-91ED-43cb-92C2-25804820EDAC}">
            <c15:filteredBarSeries>
              <c15:ser>
                <c:idx val="0"/>
                <c:order val="0"/>
                <c:tx>
                  <c:strRef>
                    <c:extLst>
                      <c:ext uri="{02D57815-91ED-43cb-92C2-25804820EDAC}">
                        <c15:formulaRef>
                          <c15:sqref>Analysis!$E$3</c15:sqref>
                        </c15:formulaRef>
                      </c:ext>
                    </c:extLst>
                    <c:strCache>
                      <c:ptCount val="1"/>
                      <c:pt idx="0">
                        <c:v>Patch Count</c:v>
                      </c:pt>
                    </c:strCache>
                  </c:strRef>
                </c:tx>
                <c:spPr>
                  <a:solidFill>
                    <a:schemeClr val="accent1"/>
                  </a:solidFill>
                  <a:ln>
                    <a:noFill/>
                  </a:ln>
                  <a:effectLst/>
                </c:spPr>
                <c:invertIfNegative val="0"/>
                <c:cat>
                  <c:strRef>
                    <c:extLst>
                      <c:ext uri="{02D57815-91ED-43cb-92C2-25804820EDAC}">
                        <c15:formulaRef>
                          <c15:sqref>Analysis!$D$4:$D$9</c15:sqref>
                        </c15:formulaRef>
                      </c:ext>
                    </c:extLst>
                    <c:strCache>
                      <c:ptCount val="6"/>
                      <c:pt idx="0">
                        <c:v>EDAC</c:v>
                      </c:pt>
                      <c:pt idx="1">
                        <c:v>SPI,MFD</c:v>
                      </c:pt>
                      <c:pt idx="2">
                        <c:v>SPI</c:v>
                      </c:pt>
                      <c:pt idx="3">
                        <c:v>NMI source</c:v>
                      </c:pt>
                      <c:pt idx="4">
                        <c:v>Perf</c:v>
                      </c:pt>
                      <c:pt idx="5">
                        <c:v>Security</c:v>
                      </c:pt>
                    </c:strCache>
                  </c:strRef>
                </c:cat>
                <c:val>
                  <c:numRef>
                    <c:extLst>
                      <c:ext uri="{02D57815-91ED-43cb-92C2-25804820EDAC}">
                        <c15:formulaRef>
                          <c15:sqref>Analysis!$E$4:$E$9</c15:sqref>
                        </c15:formulaRef>
                      </c:ext>
                    </c:extLst>
                    <c:numCache>
                      <c:formatCode>General</c:formatCode>
                      <c:ptCount val="6"/>
                      <c:pt idx="0">
                        <c:v>7</c:v>
                      </c:pt>
                      <c:pt idx="1">
                        <c:v>2</c:v>
                      </c:pt>
                      <c:pt idx="2">
                        <c:v>1</c:v>
                      </c:pt>
                      <c:pt idx="3">
                        <c:v>44</c:v>
                      </c:pt>
                      <c:pt idx="4">
                        <c:v>94</c:v>
                      </c:pt>
                      <c:pt idx="5">
                        <c:v>2</c:v>
                      </c:pt>
                    </c:numCache>
                  </c:numRef>
                </c:val>
                <c:extLst>
                  <c:ext xmlns:c16="http://schemas.microsoft.com/office/drawing/2014/chart" uri="{C3380CC4-5D6E-409C-BE32-E72D297353CC}">
                    <c16:uniqueId val="{00000000-27E7-4D38-A20A-E84BC72AD51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Analysis!$G$3</c15:sqref>
                        </c15:formulaRef>
                      </c:ext>
                    </c:extLst>
                    <c:strCache>
                      <c:ptCount val="1"/>
                      <c:pt idx="0">
                        <c:v>No-upstream</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Analysis!$D$4:$D$9</c15:sqref>
                        </c15:formulaRef>
                      </c:ext>
                    </c:extLst>
                    <c:strCache>
                      <c:ptCount val="6"/>
                      <c:pt idx="0">
                        <c:v>EDAC</c:v>
                      </c:pt>
                      <c:pt idx="1">
                        <c:v>SPI,MFD</c:v>
                      </c:pt>
                      <c:pt idx="2">
                        <c:v>SPI</c:v>
                      </c:pt>
                      <c:pt idx="3">
                        <c:v>NMI source</c:v>
                      </c:pt>
                      <c:pt idx="4">
                        <c:v>Perf</c:v>
                      </c:pt>
                      <c:pt idx="5">
                        <c:v>Security</c:v>
                      </c:pt>
                    </c:strCache>
                  </c:strRef>
                </c:cat>
                <c:val>
                  <c:numRef>
                    <c:extLst xmlns:c15="http://schemas.microsoft.com/office/drawing/2012/chart">
                      <c:ext xmlns:c15="http://schemas.microsoft.com/office/drawing/2012/chart" uri="{02D57815-91ED-43cb-92C2-25804820EDAC}">
                        <c15:formulaRef>
                          <c15:sqref>Analysis!$G$4:$G$9</c15:sqref>
                        </c15:formulaRef>
                      </c:ext>
                    </c:extLst>
                    <c:numCache>
                      <c:formatCode>General</c:formatCode>
                      <c:ptCount val="6"/>
                      <c:pt idx="0">
                        <c:v>4</c:v>
                      </c:pt>
                      <c:pt idx="1">
                        <c:v>1</c:v>
                      </c:pt>
                      <c:pt idx="2">
                        <c:v>0</c:v>
                      </c:pt>
                      <c:pt idx="3">
                        <c:v>44</c:v>
                      </c:pt>
                      <c:pt idx="4">
                        <c:v>35</c:v>
                      </c:pt>
                      <c:pt idx="5">
                        <c:v>2</c:v>
                      </c:pt>
                    </c:numCache>
                  </c:numRef>
                </c:val>
                <c:extLst xmlns:c15="http://schemas.microsoft.com/office/drawing/2012/chart">
                  <c:ext xmlns:c16="http://schemas.microsoft.com/office/drawing/2014/chart" uri="{C3380CC4-5D6E-409C-BE32-E72D297353CC}">
                    <c16:uniqueId val="{00000002-27E7-4D38-A20A-E84BC72AD51E}"/>
                  </c:ext>
                </c:extLst>
              </c15:ser>
            </c15:filteredBarSeries>
          </c:ext>
        </c:extLst>
      </c:barChart>
      <c:catAx>
        <c:axId val="15691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71648"/>
        <c:crosses val="autoZero"/>
        <c:auto val="1"/>
        <c:lblAlgn val="ctr"/>
        <c:lblOffset val="100"/>
        <c:noMultiLvlLbl val="0"/>
      </c:catAx>
      <c:valAx>
        <c:axId val="156917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67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601980</xdr:colOff>
      <xdr:row>12</xdr:row>
      <xdr:rowOff>30480</xdr:rowOff>
    </xdr:from>
    <xdr:to>
      <xdr:col>9</xdr:col>
      <xdr:colOff>22860</xdr:colOff>
      <xdr:row>31</xdr:row>
      <xdr:rowOff>121920</xdr:rowOff>
    </xdr:to>
    <xdr:graphicFrame macro="">
      <xdr:nvGraphicFramePr>
        <xdr:cNvPr id="4" name="Chart 3">
          <a:extLst>
            <a:ext uri="{FF2B5EF4-FFF2-40B4-BE49-F238E27FC236}">
              <a16:creationId xmlns:a16="http://schemas.microsoft.com/office/drawing/2014/main" id="{E52DE84B-DAF0-42A8-F733-EFC4BF03B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E9"/>
  <sheetViews>
    <sheetView workbookViewId="0">
      <selection activeCell="C18" sqref="C18"/>
    </sheetView>
  </sheetViews>
  <sheetFormatPr defaultRowHeight="13.9"/>
  <cols>
    <col min="1" max="1" width="34.7109375" customWidth="1"/>
    <col min="2" max="2" width="11.7109375" customWidth="1"/>
    <col min="3" max="3" width="16.7109375" customWidth="1"/>
    <col min="4" max="4" width="11.7109375" customWidth="1"/>
    <col min="5" max="5" width="10.7109375" customWidth="1"/>
  </cols>
  <sheetData>
    <row r="1" spans="1:5">
      <c r="A1" s="11" t="s">
        <v>0</v>
      </c>
      <c r="B1" s="11"/>
      <c r="C1" s="11" t="s">
        <v>1</v>
      </c>
      <c r="D1" s="11"/>
      <c r="E1" s="11"/>
    </row>
    <row r="2" spans="1:5">
      <c r="A2" s="1" t="s">
        <v>2</v>
      </c>
      <c r="B2" s="1" t="s">
        <v>3</v>
      </c>
      <c r="C2" s="1" t="s">
        <v>4</v>
      </c>
      <c r="D2" s="1" t="s">
        <v>3</v>
      </c>
      <c r="E2" s="2" t="s">
        <v>5</v>
      </c>
    </row>
    <row r="3" spans="1:5">
      <c r="A3" s="3" t="s">
        <v>6</v>
      </c>
      <c r="B3" s="3">
        <v>7</v>
      </c>
      <c r="C3" s="4" t="s">
        <v>7</v>
      </c>
      <c r="D3" s="4">
        <v>7</v>
      </c>
      <c r="E3" s="2">
        <v>4</v>
      </c>
    </row>
    <row r="4" spans="1:5">
      <c r="A4" s="14" t="s">
        <v>8</v>
      </c>
      <c r="B4" s="14">
        <v>3</v>
      </c>
      <c r="C4" s="4" t="s">
        <v>9</v>
      </c>
      <c r="D4" s="4">
        <v>2</v>
      </c>
      <c r="E4" s="2">
        <v>1</v>
      </c>
    </row>
    <row r="5" spans="1:5">
      <c r="A5" s="14"/>
      <c r="B5" s="14"/>
      <c r="C5" s="4" t="s">
        <v>10</v>
      </c>
      <c r="D5" s="4">
        <v>1</v>
      </c>
      <c r="E5" s="2"/>
    </row>
    <row r="6" spans="1:5">
      <c r="A6" s="3" t="s">
        <v>11</v>
      </c>
      <c r="B6" s="3">
        <v>44</v>
      </c>
      <c r="C6" s="4" t="s">
        <v>12</v>
      </c>
      <c r="D6" s="4">
        <v>44</v>
      </c>
      <c r="E6" s="2">
        <v>44</v>
      </c>
    </row>
    <row r="7" spans="1:5">
      <c r="A7" s="3" t="s">
        <v>13</v>
      </c>
      <c r="B7" s="3">
        <v>94</v>
      </c>
      <c r="C7" s="4" t="s">
        <v>13</v>
      </c>
      <c r="D7" s="4">
        <v>94</v>
      </c>
      <c r="E7" s="2">
        <v>35</v>
      </c>
    </row>
    <row r="8" spans="1:5">
      <c r="A8" s="3" t="s">
        <v>14</v>
      </c>
      <c r="B8" s="3">
        <v>2</v>
      </c>
      <c r="C8" s="4" t="s">
        <v>14</v>
      </c>
      <c r="D8" s="4">
        <v>2</v>
      </c>
      <c r="E8" s="2">
        <v>2</v>
      </c>
    </row>
    <row r="9" spans="1:5">
      <c r="A9" s="5" t="s">
        <v>15</v>
      </c>
      <c r="B9" s="5">
        <f>SUM(B3:B8)</f>
        <v>150</v>
      </c>
      <c r="C9" s="5"/>
      <c r="D9" s="5">
        <f>SUM(D3:D8)</f>
        <v>150</v>
      </c>
      <c r="E9" s="5">
        <f>SUM(E3:E8)</f>
        <v>86</v>
      </c>
    </row>
  </sheetData>
  <mergeCells count="4">
    <mergeCell ref="A1:B1"/>
    <mergeCell ref="C1:E1"/>
    <mergeCell ref="A4:A5"/>
    <mergeCell ref="B4: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CC4C-24C7-495B-84F3-40D66CFF836A}">
  <dimension ref="B2:I10"/>
  <sheetViews>
    <sheetView tabSelected="1" workbookViewId="0">
      <selection activeCell="D2" sqref="D2:I2"/>
    </sheetView>
  </sheetViews>
  <sheetFormatPr defaultRowHeight="13.9"/>
  <cols>
    <col min="2" max="2" width="27.7109375" customWidth="1"/>
    <col min="9" max="9" width="14" customWidth="1"/>
  </cols>
  <sheetData>
    <row r="2" spans="2:9">
      <c r="B2" s="11" t="s">
        <v>0</v>
      </c>
      <c r="C2" s="11"/>
      <c r="D2" s="12" t="s">
        <v>1</v>
      </c>
      <c r="E2" s="13"/>
      <c r="F2" s="13"/>
      <c r="G2" s="13"/>
      <c r="H2" s="13"/>
      <c r="I2" s="13"/>
    </row>
    <row r="3" spans="2:9">
      <c r="B3" s="1" t="s">
        <v>2</v>
      </c>
      <c r="C3" s="1" t="s">
        <v>3</v>
      </c>
      <c r="D3" s="1" t="s">
        <v>4</v>
      </c>
      <c r="E3" s="1" t="s">
        <v>3</v>
      </c>
      <c r="F3" s="1" t="s">
        <v>16</v>
      </c>
      <c r="G3" s="2" t="s">
        <v>5</v>
      </c>
      <c r="H3" s="2" t="s">
        <v>17</v>
      </c>
      <c r="I3" s="2" t="s">
        <v>18</v>
      </c>
    </row>
    <row r="4" spans="2:9">
      <c r="B4" s="3" t="s">
        <v>6</v>
      </c>
      <c r="C4" s="3">
        <v>7</v>
      </c>
      <c r="D4" s="4" t="s">
        <v>7</v>
      </c>
      <c r="E4" s="4">
        <v>7</v>
      </c>
      <c r="F4" s="8">
        <f>E4-G4</f>
        <v>3</v>
      </c>
      <c r="G4" s="2">
        <v>4</v>
      </c>
      <c r="H4" s="9">
        <v>4</v>
      </c>
      <c r="I4" s="10">
        <f>G4-H4</f>
        <v>0</v>
      </c>
    </row>
    <row r="5" spans="2:9">
      <c r="B5" s="14" t="s">
        <v>8</v>
      </c>
      <c r="C5" s="14">
        <v>3</v>
      </c>
      <c r="D5" s="4" t="s">
        <v>9</v>
      </c>
      <c r="E5" s="4">
        <v>2</v>
      </c>
      <c r="F5" s="8">
        <f>E5-G5</f>
        <v>1</v>
      </c>
      <c r="G5" s="2">
        <v>1</v>
      </c>
      <c r="H5" s="9">
        <v>0</v>
      </c>
      <c r="I5" s="10">
        <f t="shared" ref="I5:I9" si="0">G5-H5</f>
        <v>1</v>
      </c>
    </row>
    <row r="6" spans="2:9">
      <c r="B6" s="14"/>
      <c r="C6" s="14"/>
      <c r="D6" s="4" t="s">
        <v>10</v>
      </c>
      <c r="E6" s="4">
        <v>1</v>
      </c>
      <c r="F6" s="8">
        <f>E6-G6</f>
        <v>1</v>
      </c>
      <c r="G6" s="2">
        <v>0</v>
      </c>
      <c r="H6" s="9">
        <v>0</v>
      </c>
      <c r="I6" s="10">
        <v>0</v>
      </c>
    </row>
    <row r="7" spans="2:9">
      <c r="B7" s="3" t="s">
        <v>11</v>
      </c>
      <c r="C7" s="3">
        <v>44</v>
      </c>
      <c r="D7" s="4" t="s">
        <v>12</v>
      </c>
      <c r="E7" s="4">
        <v>44</v>
      </c>
      <c r="F7" s="8">
        <f>E7-G7</f>
        <v>0</v>
      </c>
      <c r="G7" s="2">
        <v>44</v>
      </c>
      <c r="H7" s="9">
        <v>0</v>
      </c>
      <c r="I7" s="10">
        <v>44</v>
      </c>
    </row>
    <row r="8" spans="2:9">
      <c r="B8" s="3" t="s">
        <v>13</v>
      </c>
      <c r="C8" s="3">
        <v>94</v>
      </c>
      <c r="D8" s="4" t="s">
        <v>13</v>
      </c>
      <c r="E8" s="4">
        <v>94</v>
      </c>
      <c r="F8" s="8">
        <f>E8-G8</f>
        <v>59</v>
      </c>
      <c r="G8" s="2">
        <v>35</v>
      </c>
      <c r="H8" s="9">
        <v>0</v>
      </c>
      <c r="I8" s="10">
        <v>35</v>
      </c>
    </row>
    <row r="9" spans="2:9">
      <c r="B9" s="3" t="s">
        <v>14</v>
      </c>
      <c r="C9" s="3">
        <v>2</v>
      </c>
      <c r="D9" s="4" t="s">
        <v>14</v>
      </c>
      <c r="E9" s="4">
        <v>2</v>
      </c>
      <c r="F9" s="8">
        <f>E9-G9</f>
        <v>0</v>
      </c>
      <c r="G9" s="2">
        <v>2</v>
      </c>
      <c r="H9" s="9">
        <v>1</v>
      </c>
      <c r="I9" s="10">
        <f t="shared" si="0"/>
        <v>1</v>
      </c>
    </row>
    <row r="10" spans="2:9">
      <c r="B10" s="5" t="s">
        <v>15</v>
      </c>
      <c r="C10" s="5">
        <f>SUM(C4:C9)</f>
        <v>150</v>
      </c>
      <c r="D10" s="5"/>
      <c r="E10" s="5">
        <f>SUM(E4:E9)</f>
        <v>150</v>
      </c>
      <c r="F10" s="5">
        <f>E10-G10</f>
        <v>64</v>
      </c>
      <c r="G10" s="5">
        <f>SUM(G4:G9)</f>
        <v>86</v>
      </c>
      <c r="H10" s="5">
        <f>SUM(H4:H9)</f>
        <v>5</v>
      </c>
      <c r="I10" s="5">
        <f>G10-H10</f>
        <v>81</v>
      </c>
    </row>
  </sheetData>
  <mergeCells count="4">
    <mergeCell ref="B2:C2"/>
    <mergeCell ref="D2:I2"/>
    <mergeCell ref="B5:B6"/>
    <mergeCell ref="C5:C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8918"/>
  </sheetPr>
  <dimension ref="A1:J8"/>
  <sheetViews>
    <sheetView topLeftCell="B1" workbookViewId="0">
      <selection activeCell="H8" sqref="H8"/>
    </sheetView>
  </sheetViews>
  <sheetFormatPr defaultRowHeight="13.9"/>
  <cols>
    <col min="1" max="1" width="78.7109375" customWidth="1"/>
    <col min="2" max="2" width="23.7109375" customWidth="1"/>
    <col min="3" max="3" width="18.7109375" customWidth="1"/>
    <col min="4" max="4" width="44.7109375" customWidth="1"/>
    <col min="5" max="5" width="11.7109375" customWidth="1"/>
    <col min="6" max="6" width="44.7109375" customWidth="1"/>
    <col min="7" max="7" width="27.7109375" customWidth="1"/>
    <col min="8" max="8" width="22.7109375" customWidth="1"/>
    <col min="9" max="9" width="108.7109375" customWidth="1"/>
    <col min="10" max="10" width="11.7109375" customWidth="1"/>
  </cols>
  <sheetData>
    <row r="1" spans="1:10">
      <c r="A1" s="1" t="s">
        <v>19</v>
      </c>
      <c r="B1" s="1" t="s">
        <v>20</v>
      </c>
      <c r="C1" s="1" t="s">
        <v>21</v>
      </c>
      <c r="D1" s="1" t="s">
        <v>22</v>
      </c>
      <c r="E1" s="1" t="s">
        <v>23</v>
      </c>
      <c r="F1" s="1" t="s">
        <v>24</v>
      </c>
      <c r="G1" s="1" t="s">
        <v>25</v>
      </c>
      <c r="H1" s="1" t="s">
        <v>26</v>
      </c>
      <c r="I1" s="1" t="s">
        <v>27</v>
      </c>
      <c r="J1" s="1" t="s">
        <v>1</v>
      </c>
    </row>
    <row r="2" spans="1:10">
      <c r="A2" s="6" t="s">
        <v>28</v>
      </c>
      <c r="B2" t="s">
        <v>29</v>
      </c>
      <c r="C2" t="s">
        <v>30</v>
      </c>
      <c r="D2" t="s">
        <v>31</v>
      </c>
      <c r="E2" t="s">
        <v>32</v>
      </c>
      <c r="F2" t="s">
        <v>33</v>
      </c>
      <c r="G2" t="s">
        <v>34</v>
      </c>
      <c r="J2" t="s">
        <v>7</v>
      </c>
    </row>
    <row r="3" spans="1:10">
      <c r="A3" s="6" t="s">
        <v>35</v>
      </c>
      <c r="B3" t="s">
        <v>36</v>
      </c>
      <c r="C3" t="s">
        <v>30</v>
      </c>
      <c r="D3" t="s">
        <v>37</v>
      </c>
      <c r="E3" t="s">
        <v>32</v>
      </c>
      <c r="F3" t="s">
        <v>38</v>
      </c>
      <c r="G3" t="s">
        <v>34</v>
      </c>
      <c r="H3" t="s">
        <v>39</v>
      </c>
      <c r="I3" t="s">
        <v>40</v>
      </c>
      <c r="J3" t="s">
        <v>7</v>
      </c>
    </row>
    <row r="4" spans="1:10">
      <c r="A4" s="7" t="s">
        <v>41</v>
      </c>
      <c r="B4" t="s">
        <v>42</v>
      </c>
      <c r="C4" t="s">
        <v>30</v>
      </c>
      <c r="D4" t="s">
        <v>43</v>
      </c>
      <c r="E4" t="s">
        <v>44</v>
      </c>
      <c r="H4" t="s">
        <v>45</v>
      </c>
      <c r="I4" t="s">
        <v>46</v>
      </c>
      <c r="J4" t="s">
        <v>7</v>
      </c>
    </row>
    <row r="5" spans="1:10">
      <c r="A5" s="7" t="s">
        <v>47</v>
      </c>
      <c r="B5" t="s">
        <v>48</v>
      </c>
      <c r="C5" t="s">
        <v>30</v>
      </c>
      <c r="D5" t="s">
        <v>49</v>
      </c>
      <c r="E5" t="s">
        <v>44</v>
      </c>
      <c r="H5" t="s">
        <v>45</v>
      </c>
      <c r="I5" t="s">
        <v>46</v>
      </c>
      <c r="J5" t="s">
        <v>7</v>
      </c>
    </row>
    <row r="6" spans="1:10">
      <c r="A6" s="7" t="s">
        <v>50</v>
      </c>
      <c r="B6" t="s">
        <v>51</v>
      </c>
      <c r="C6" t="s">
        <v>30</v>
      </c>
      <c r="D6" t="s">
        <v>52</v>
      </c>
      <c r="E6" t="s">
        <v>44</v>
      </c>
      <c r="H6" t="s">
        <v>45</v>
      </c>
      <c r="I6" t="s">
        <v>53</v>
      </c>
      <c r="J6" t="s">
        <v>7</v>
      </c>
    </row>
    <row r="7" spans="1:10">
      <c r="A7" s="7" t="s">
        <v>54</v>
      </c>
      <c r="B7" t="s">
        <v>55</v>
      </c>
      <c r="C7" t="s">
        <v>30</v>
      </c>
      <c r="D7" t="s">
        <v>56</v>
      </c>
      <c r="E7" t="s">
        <v>44</v>
      </c>
      <c r="H7" t="s">
        <v>45</v>
      </c>
      <c r="I7" t="s">
        <v>53</v>
      </c>
      <c r="J7" t="s">
        <v>7</v>
      </c>
    </row>
    <row r="8" spans="1:10">
      <c r="A8" s="6" t="s">
        <v>57</v>
      </c>
      <c r="B8" t="s">
        <v>29</v>
      </c>
      <c r="C8" t="s">
        <v>30</v>
      </c>
      <c r="D8" t="s">
        <v>58</v>
      </c>
      <c r="E8" t="s">
        <v>32</v>
      </c>
      <c r="F8" t="s">
        <v>59</v>
      </c>
      <c r="G8" t="s">
        <v>34</v>
      </c>
      <c r="J8"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8918"/>
  </sheetPr>
  <dimension ref="A1:J4"/>
  <sheetViews>
    <sheetView workbookViewId="0">
      <selection activeCell="A3" sqref="A3"/>
    </sheetView>
  </sheetViews>
  <sheetFormatPr defaultRowHeight="13.9"/>
  <cols>
    <col min="1" max="1" width="75.7109375" customWidth="1"/>
    <col min="2" max="2" width="23.7109375" customWidth="1"/>
    <col min="3" max="3" width="18.7109375" customWidth="1"/>
    <col min="4" max="4" width="44.7109375" customWidth="1"/>
    <col min="5" max="5" width="11.7109375" customWidth="1"/>
    <col min="6" max="6" width="44.7109375" customWidth="1"/>
    <col min="7" max="7" width="27.7109375" customWidth="1"/>
    <col min="8" max="8" width="22.7109375" customWidth="1"/>
    <col min="9" max="9" width="184.7109375" customWidth="1"/>
    <col min="10" max="10" width="11.7109375" customWidth="1"/>
  </cols>
  <sheetData>
    <row r="1" spans="1:10">
      <c r="A1" s="1" t="s">
        <v>19</v>
      </c>
      <c r="B1" s="1" t="s">
        <v>20</v>
      </c>
      <c r="C1" s="1" t="s">
        <v>21</v>
      </c>
      <c r="D1" s="1" t="s">
        <v>22</v>
      </c>
      <c r="E1" s="1" t="s">
        <v>23</v>
      </c>
      <c r="F1" s="1" t="s">
        <v>24</v>
      </c>
      <c r="G1" s="1" t="s">
        <v>25</v>
      </c>
      <c r="H1" s="1" t="s">
        <v>26</v>
      </c>
      <c r="I1" s="1" t="s">
        <v>27</v>
      </c>
      <c r="J1" s="1" t="s">
        <v>1</v>
      </c>
    </row>
    <row r="2" spans="1:10">
      <c r="A2" s="6" t="s">
        <v>60</v>
      </c>
      <c r="B2" t="s">
        <v>61</v>
      </c>
      <c r="C2" t="s">
        <v>30</v>
      </c>
      <c r="D2" t="s">
        <v>62</v>
      </c>
      <c r="E2" t="s">
        <v>32</v>
      </c>
      <c r="F2" t="s">
        <v>63</v>
      </c>
      <c r="G2" t="s">
        <v>34</v>
      </c>
      <c r="H2" t="s">
        <v>64</v>
      </c>
      <c r="I2" t="s">
        <v>65</v>
      </c>
      <c r="J2" t="s">
        <v>66</v>
      </c>
    </row>
    <row r="3" spans="1:10">
      <c r="A3" s="7" t="s">
        <v>67</v>
      </c>
      <c r="B3" t="s">
        <v>68</v>
      </c>
      <c r="C3" t="s">
        <v>30</v>
      </c>
      <c r="D3" t="s">
        <v>69</v>
      </c>
      <c r="H3" t="s">
        <v>64</v>
      </c>
      <c r="I3" t="s">
        <v>70</v>
      </c>
      <c r="J3" t="s">
        <v>66</v>
      </c>
    </row>
    <row r="4" spans="1:10">
      <c r="A4" s="6" t="s">
        <v>71</v>
      </c>
      <c r="B4" t="s">
        <v>72</v>
      </c>
      <c r="C4" t="s">
        <v>30</v>
      </c>
      <c r="D4" t="s">
        <v>73</v>
      </c>
      <c r="E4" t="s">
        <v>32</v>
      </c>
      <c r="F4" t="s">
        <v>74</v>
      </c>
      <c r="G4" t="s">
        <v>34</v>
      </c>
      <c r="H4" t="s">
        <v>64</v>
      </c>
      <c r="I4" t="s">
        <v>65</v>
      </c>
      <c r="J4"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8918"/>
  </sheetPr>
  <dimension ref="A1:J45"/>
  <sheetViews>
    <sheetView workbookViewId="0"/>
  </sheetViews>
  <sheetFormatPr defaultRowHeight="13.9"/>
  <cols>
    <col min="1" max="1" width="79.7109375" customWidth="1"/>
    <col min="2" max="2" width="23.7109375" customWidth="1"/>
    <col min="3" max="3" width="18.7109375" customWidth="1"/>
    <col min="4" max="4" width="44.7109375" customWidth="1"/>
    <col min="5" max="5" width="16.7109375" customWidth="1"/>
    <col min="6" max="6" width="19.7109375" customWidth="1"/>
    <col min="7" max="7" width="27.7109375" customWidth="1"/>
    <col min="8" max="8" width="22.7109375" customWidth="1"/>
    <col min="9" max="9" width="26.7109375" customWidth="1"/>
    <col min="10" max="10" width="11.7109375" customWidth="1"/>
  </cols>
  <sheetData>
    <row r="1" spans="1:10">
      <c r="A1" s="1" t="s">
        <v>19</v>
      </c>
      <c r="B1" s="1" t="s">
        <v>20</v>
      </c>
      <c r="C1" s="1" t="s">
        <v>21</v>
      </c>
      <c r="D1" s="1" t="s">
        <v>22</v>
      </c>
      <c r="E1" s="1" t="s">
        <v>23</v>
      </c>
      <c r="F1" s="1" t="s">
        <v>24</v>
      </c>
      <c r="G1" s="1" t="s">
        <v>25</v>
      </c>
      <c r="H1" s="1" t="s">
        <v>26</v>
      </c>
      <c r="I1" s="1" t="s">
        <v>27</v>
      </c>
      <c r="J1" s="1" t="s">
        <v>1</v>
      </c>
    </row>
    <row r="2" spans="1:10">
      <c r="A2" s="7" t="s">
        <v>75</v>
      </c>
      <c r="B2" t="s">
        <v>76</v>
      </c>
      <c r="C2" t="s">
        <v>30</v>
      </c>
      <c r="D2" t="s">
        <v>77</v>
      </c>
      <c r="E2" t="s">
        <v>78</v>
      </c>
      <c r="J2" t="s">
        <v>12</v>
      </c>
    </row>
    <row r="3" spans="1:10">
      <c r="A3" s="7" t="s">
        <v>79</v>
      </c>
      <c r="B3" t="s">
        <v>80</v>
      </c>
      <c r="C3" t="s">
        <v>30</v>
      </c>
      <c r="D3" t="s">
        <v>81</v>
      </c>
      <c r="E3" t="s">
        <v>78</v>
      </c>
      <c r="J3" t="s">
        <v>12</v>
      </c>
    </row>
    <row r="4" spans="1:10">
      <c r="A4" s="7" t="s">
        <v>82</v>
      </c>
      <c r="B4" t="s">
        <v>83</v>
      </c>
      <c r="C4" t="s">
        <v>30</v>
      </c>
      <c r="D4" t="s">
        <v>84</v>
      </c>
      <c r="E4" t="s">
        <v>78</v>
      </c>
      <c r="J4" t="s">
        <v>12</v>
      </c>
    </row>
    <row r="5" spans="1:10">
      <c r="A5" s="7" t="s">
        <v>85</v>
      </c>
      <c r="B5" t="s">
        <v>86</v>
      </c>
      <c r="C5" t="s">
        <v>30</v>
      </c>
      <c r="D5" t="s">
        <v>87</v>
      </c>
      <c r="E5" t="s">
        <v>78</v>
      </c>
      <c r="J5" t="s">
        <v>12</v>
      </c>
    </row>
    <row r="6" spans="1:10">
      <c r="A6" s="7" t="s">
        <v>88</v>
      </c>
      <c r="B6" t="s">
        <v>80</v>
      </c>
      <c r="C6" t="s">
        <v>30</v>
      </c>
      <c r="D6" t="s">
        <v>89</v>
      </c>
      <c r="E6" t="s">
        <v>78</v>
      </c>
      <c r="J6" t="s">
        <v>12</v>
      </c>
    </row>
    <row r="7" spans="1:10">
      <c r="A7" s="7" t="s">
        <v>90</v>
      </c>
      <c r="B7" t="s">
        <v>80</v>
      </c>
      <c r="C7" t="s">
        <v>30</v>
      </c>
      <c r="D7" t="s">
        <v>91</v>
      </c>
      <c r="E7" t="s">
        <v>78</v>
      </c>
      <c r="J7" t="s">
        <v>12</v>
      </c>
    </row>
    <row r="8" spans="1:10">
      <c r="A8" s="7" t="s">
        <v>92</v>
      </c>
      <c r="B8" t="s">
        <v>93</v>
      </c>
      <c r="C8" t="s">
        <v>30</v>
      </c>
      <c r="D8" t="s">
        <v>94</v>
      </c>
      <c r="E8" t="s">
        <v>78</v>
      </c>
      <c r="J8" t="s">
        <v>12</v>
      </c>
    </row>
    <row r="9" spans="1:10">
      <c r="A9" s="7" t="s">
        <v>95</v>
      </c>
      <c r="B9" t="s">
        <v>80</v>
      </c>
      <c r="C9" t="s">
        <v>30</v>
      </c>
      <c r="D9" t="s">
        <v>96</v>
      </c>
      <c r="E9" t="s">
        <v>78</v>
      </c>
      <c r="J9" t="s">
        <v>12</v>
      </c>
    </row>
    <row r="10" spans="1:10">
      <c r="A10" s="7" t="s">
        <v>97</v>
      </c>
      <c r="B10" t="s">
        <v>98</v>
      </c>
      <c r="C10" t="s">
        <v>30</v>
      </c>
      <c r="D10" t="s">
        <v>99</v>
      </c>
      <c r="E10" t="s">
        <v>78</v>
      </c>
      <c r="H10" t="s">
        <v>100</v>
      </c>
      <c r="I10" t="s">
        <v>101</v>
      </c>
      <c r="J10" t="s">
        <v>12</v>
      </c>
    </row>
    <row r="11" spans="1:10">
      <c r="A11" s="7" t="s">
        <v>102</v>
      </c>
      <c r="B11" t="s">
        <v>103</v>
      </c>
      <c r="C11" t="s">
        <v>30</v>
      </c>
      <c r="D11" t="s">
        <v>104</v>
      </c>
      <c r="E11" t="s">
        <v>78</v>
      </c>
      <c r="J11" t="s">
        <v>12</v>
      </c>
    </row>
    <row r="12" spans="1:10">
      <c r="A12" s="7" t="s">
        <v>105</v>
      </c>
      <c r="B12" t="s">
        <v>93</v>
      </c>
      <c r="C12" t="s">
        <v>30</v>
      </c>
      <c r="D12" t="s">
        <v>106</v>
      </c>
      <c r="E12" t="s">
        <v>78</v>
      </c>
      <c r="J12" t="s">
        <v>12</v>
      </c>
    </row>
    <row r="13" spans="1:10">
      <c r="A13" s="7" t="s">
        <v>107</v>
      </c>
      <c r="B13" t="s">
        <v>93</v>
      </c>
      <c r="C13" t="s">
        <v>30</v>
      </c>
      <c r="D13" t="s">
        <v>108</v>
      </c>
      <c r="E13" t="s">
        <v>78</v>
      </c>
      <c r="J13" t="s">
        <v>12</v>
      </c>
    </row>
    <row r="14" spans="1:10">
      <c r="A14" s="7" t="s">
        <v>109</v>
      </c>
      <c r="B14" t="s">
        <v>110</v>
      </c>
      <c r="C14" t="s">
        <v>30</v>
      </c>
      <c r="D14" t="s">
        <v>111</v>
      </c>
      <c r="E14" t="s">
        <v>78</v>
      </c>
      <c r="J14" t="s">
        <v>12</v>
      </c>
    </row>
    <row r="15" spans="1:10">
      <c r="A15" s="7" t="s">
        <v>112</v>
      </c>
      <c r="B15" t="s">
        <v>80</v>
      </c>
      <c r="C15" t="s">
        <v>30</v>
      </c>
      <c r="D15" t="s">
        <v>113</v>
      </c>
      <c r="E15" t="s">
        <v>78</v>
      </c>
      <c r="J15" t="s">
        <v>12</v>
      </c>
    </row>
    <row r="16" spans="1:10">
      <c r="A16" s="7" t="s">
        <v>114</v>
      </c>
      <c r="B16" t="s">
        <v>115</v>
      </c>
      <c r="C16" t="s">
        <v>30</v>
      </c>
      <c r="D16" t="s">
        <v>116</v>
      </c>
      <c r="E16" t="s">
        <v>78</v>
      </c>
      <c r="J16" t="s">
        <v>12</v>
      </c>
    </row>
    <row r="17" spans="1:10">
      <c r="A17" s="7" t="s">
        <v>117</v>
      </c>
      <c r="B17" t="s">
        <v>115</v>
      </c>
      <c r="C17" t="s">
        <v>30</v>
      </c>
      <c r="D17" t="s">
        <v>118</v>
      </c>
      <c r="E17" t="s">
        <v>78</v>
      </c>
      <c r="J17" t="s">
        <v>12</v>
      </c>
    </row>
    <row r="18" spans="1:10">
      <c r="A18" s="7" t="s">
        <v>119</v>
      </c>
      <c r="B18" t="s">
        <v>80</v>
      </c>
      <c r="C18" t="s">
        <v>30</v>
      </c>
      <c r="D18" t="s">
        <v>120</v>
      </c>
      <c r="E18" t="s">
        <v>78</v>
      </c>
      <c r="J18" t="s">
        <v>12</v>
      </c>
    </row>
    <row r="19" spans="1:10">
      <c r="A19" s="7" t="s">
        <v>121</v>
      </c>
      <c r="B19" t="s">
        <v>83</v>
      </c>
      <c r="C19" t="s">
        <v>30</v>
      </c>
      <c r="D19" t="s">
        <v>122</v>
      </c>
      <c r="E19" t="s">
        <v>78</v>
      </c>
      <c r="J19" t="s">
        <v>12</v>
      </c>
    </row>
    <row r="20" spans="1:10">
      <c r="A20" s="7" t="s">
        <v>123</v>
      </c>
      <c r="B20" t="s">
        <v>93</v>
      </c>
      <c r="C20" t="s">
        <v>30</v>
      </c>
      <c r="D20" t="s">
        <v>124</v>
      </c>
      <c r="E20" t="s">
        <v>78</v>
      </c>
      <c r="J20" t="s">
        <v>12</v>
      </c>
    </row>
    <row r="21" spans="1:10">
      <c r="A21" s="7" t="s">
        <v>125</v>
      </c>
      <c r="B21" t="s">
        <v>86</v>
      </c>
      <c r="C21" t="s">
        <v>30</v>
      </c>
      <c r="D21" t="s">
        <v>126</v>
      </c>
      <c r="E21" t="s">
        <v>78</v>
      </c>
      <c r="J21" t="s">
        <v>12</v>
      </c>
    </row>
    <row r="22" spans="1:10">
      <c r="A22" s="7" t="s">
        <v>127</v>
      </c>
      <c r="B22" t="s">
        <v>128</v>
      </c>
      <c r="C22" t="s">
        <v>30</v>
      </c>
      <c r="D22" t="s">
        <v>129</v>
      </c>
      <c r="E22" t="s">
        <v>78</v>
      </c>
      <c r="J22" t="s">
        <v>12</v>
      </c>
    </row>
    <row r="23" spans="1:10">
      <c r="A23" s="7" t="s">
        <v>130</v>
      </c>
      <c r="B23" t="s">
        <v>98</v>
      </c>
      <c r="C23" t="s">
        <v>30</v>
      </c>
      <c r="D23" t="s">
        <v>131</v>
      </c>
      <c r="E23" t="s">
        <v>78</v>
      </c>
      <c r="J23" t="s">
        <v>12</v>
      </c>
    </row>
    <row r="24" spans="1:10">
      <c r="A24" s="7" t="s">
        <v>132</v>
      </c>
      <c r="B24" t="s">
        <v>93</v>
      </c>
      <c r="C24" t="s">
        <v>30</v>
      </c>
      <c r="D24" t="s">
        <v>133</v>
      </c>
      <c r="E24" t="s">
        <v>78</v>
      </c>
      <c r="J24" t="s">
        <v>12</v>
      </c>
    </row>
    <row r="25" spans="1:10">
      <c r="A25" s="7" t="s">
        <v>134</v>
      </c>
      <c r="B25" t="s">
        <v>83</v>
      </c>
      <c r="C25" t="s">
        <v>30</v>
      </c>
      <c r="D25" t="s">
        <v>135</v>
      </c>
      <c r="E25" t="s">
        <v>78</v>
      </c>
      <c r="J25" t="s">
        <v>12</v>
      </c>
    </row>
    <row r="26" spans="1:10">
      <c r="A26" s="7" t="s">
        <v>136</v>
      </c>
      <c r="B26" t="s">
        <v>98</v>
      </c>
      <c r="C26" t="s">
        <v>30</v>
      </c>
      <c r="D26" t="s">
        <v>137</v>
      </c>
      <c r="E26" t="s">
        <v>78</v>
      </c>
      <c r="J26" t="s">
        <v>12</v>
      </c>
    </row>
    <row r="27" spans="1:10">
      <c r="A27" s="7" t="s">
        <v>138</v>
      </c>
      <c r="B27" t="s">
        <v>80</v>
      </c>
      <c r="C27" t="s">
        <v>30</v>
      </c>
      <c r="D27" t="s">
        <v>139</v>
      </c>
      <c r="E27" t="s">
        <v>78</v>
      </c>
      <c r="J27" t="s">
        <v>12</v>
      </c>
    </row>
    <row r="28" spans="1:10">
      <c r="A28" s="7" t="s">
        <v>140</v>
      </c>
      <c r="B28" t="s">
        <v>93</v>
      </c>
      <c r="C28" t="s">
        <v>30</v>
      </c>
      <c r="D28" t="s">
        <v>141</v>
      </c>
      <c r="E28" t="s">
        <v>78</v>
      </c>
      <c r="J28" t="s">
        <v>12</v>
      </c>
    </row>
    <row r="29" spans="1:10">
      <c r="A29" s="7" t="s">
        <v>142</v>
      </c>
      <c r="B29" t="s">
        <v>143</v>
      </c>
      <c r="C29" t="s">
        <v>30</v>
      </c>
      <c r="D29" t="s">
        <v>144</v>
      </c>
      <c r="E29" t="s">
        <v>78</v>
      </c>
      <c r="J29" t="s">
        <v>12</v>
      </c>
    </row>
    <row r="30" spans="1:10">
      <c r="A30" s="7" t="s">
        <v>145</v>
      </c>
      <c r="B30" t="s">
        <v>83</v>
      </c>
      <c r="C30" t="s">
        <v>30</v>
      </c>
      <c r="D30" t="s">
        <v>146</v>
      </c>
      <c r="E30" t="s">
        <v>78</v>
      </c>
      <c r="J30" t="s">
        <v>12</v>
      </c>
    </row>
    <row r="31" spans="1:10">
      <c r="A31" s="7" t="s">
        <v>147</v>
      </c>
      <c r="B31" t="s">
        <v>83</v>
      </c>
      <c r="C31" t="s">
        <v>30</v>
      </c>
      <c r="D31" t="s">
        <v>148</v>
      </c>
      <c r="E31" t="s">
        <v>78</v>
      </c>
      <c r="J31" t="s">
        <v>12</v>
      </c>
    </row>
    <row r="32" spans="1:10">
      <c r="A32" s="7" t="s">
        <v>149</v>
      </c>
      <c r="B32" t="s">
        <v>150</v>
      </c>
      <c r="C32" t="s">
        <v>30</v>
      </c>
      <c r="D32" t="s">
        <v>151</v>
      </c>
      <c r="E32" t="s">
        <v>78</v>
      </c>
      <c r="J32" t="s">
        <v>12</v>
      </c>
    </row>
    <row r="33" spans="1:10">
      <c r="A33" s="7" t="s">
        <v>152</v>
      </c>
      <c r="B33" t="s">
        <v>98</v>
      </c>
      <c r="C33" t="s">
        <v>30</v>
      </c>
      <c r="D33" t="s">
        <v>153</v>
      </c>
      <c r="E33" t="s">
        <v>78</v>
      </c>
      <c r="J33" t="s">
        <v>12</v>
      </c>
    </row>
    <row r="34" spans="1:10">
      <c r="A34" s="7" t="s">
        <v>154</v>
      </c>
      <c r="B34" t="s">
        <v>155</v>
      </c>
      <c r="C34" t="s">
        <v>30</v>
      </c>
      <c r="D34" t="s">
        <v>156</v>
      </c>
      <c r="E34" t="s">
        <v>78</v>
      </c>
      <c r="J34" t="s">
        <v>12</v>
      </c>
    </row>
    <row r="35" spans="1:10">
      <c r="A35" s="7" t="s">
        <v>157</v>
      </c>
      <c r="B35" t="s">
        <v>115</v>
      </c>
      <c r="C35" t="s">
        <v>30</v>
      </c>
      <c r="D35" t="s">
        <v>158</v>
      </c>
      <c r="E35" t="s">
        <v>78</v>
      </c>
      <c r="J35" t="s">
        <v>12</v>
      </c>
    </row>
    <row r="36" spans="1:10">
      <c r="A36" s="7" t="s">
        <v>159</v>
      </c>
      <c r="B36" t="s">
        <v>110</v>
      </c>
      <c r="C36" t="s">
        <v>30</v>
      </c>
      <c r="D36" t="s">
        <v>160</v>
      </c>
      <c r="E36" t="s">
        <v>78</v>
      </c>
      <c r="J36" t="s">
        <v>12</v>
      </c>
    </row>
    <row r="37" spans="1:10">
      <c r="A37" s="7" t="s">
        <v>161</v>
      </c>
      <c r="B37" t="s">
        <v>86</v>
      </c>
      <c r="C37" t="s">
        <v>30</v>
      </c>
      <c r="D37" t="s">
        <v>162</v>
      </c>
      <c r="E37" t="s">
        <v>78</v>
      </c>
      <c r="J37" t="s">
        <v>12</v>
      </c>
    </row>
    <row r="38" spans="1:10">
      <c r="A38" s="7" t="s">
        <v>163</v>
      </c>
      <c r="B38" t="s">
        <v>83</v>
      </c>
      <c r="C38" t="s">
        <v>30</v>
      </c>
      <c r="D38" t="s">
        <v>164</v>
      </c>
      <c r="E38" t="s">
        <v>78</v>
      </c>
      <c r="J38" t="s">
        <v>12</v>
      </c>
    </row>
    <row r="39" spans="1:10">
      <c r="A39" s="7" t="s">
        <v>165</v>
      </c>
      <c r="B39" t="s">
        <v>93</v>
      </c>
      <c r="C39" t="s">
        <v>30</v>
      </c>
      <c r="D39" t="s">
        <v>166</v>
      </c>
      <c r="E39" t="s">
        <v>78</v>
      </c>
      <c r="J39" t="s">
        <v>12</v>
      </c>
    </row>
    <row r="40" spans="1:10">
      <c r="A40" s="7" t="s">
        <v>167</v>
      </c>
      <c r="B40" t="s">
        <v>128</v>
      </c>
      <c r="C40" t="s">
        <v>30</v>
      </c>
      <c r="D40" t="s">
        <v>168</v>
      </c>
      <c r="E40" t="s">
        <v>78</v>
      </c>
      <c r="J40" t="s">
        <v>12</v>
      </c>
    </row>
    <row r="41" spans="1:10">
      <c r="A41" s="7" t="s">
        <v>169</v>
      </c>
      <c r="B41" t="s">
        <v>80</v>
      </c>
      <c r="C41" t="s">
        <v>30</v>
      </c>
      <c r="D41" t="s">
        <v>170</v>
      </c>
      <c r="E41" t="s">
        <v>78</v>
      </c>
      <c r="J41" t="s">
        <v>12</v>
      </c>
    </row>
    <row r="42" spans="1:10">
      <c r="A42" s="7" t="s">
        <v>171</v>
      </c>
      <c r="B42" t="s">
        <v>80</v>
      </c>
      <c r="C42" t="s">
        <v>30</v>
      </c>
      <c r="D42" t="s">
        <v>172</v>
      </c>
      <c r="E42" t="s">
        <v>78</v>
      </c>
      <c r="J42" t="s">
        <v>12</v>
      </c>
    </row>
    <row r="43" spans="1:10">
      <c r="A43" s="7" t="s">
        <v>173</v>
      </c>
      <c r="B43" t="s">
        <v>83</v>
      </c>
      <c r="C43" t="s">
        <v>30</v>
      </c>
      <c r="D43" t="s">
        <v>174</v>
      </c>
      <c r="E43" t="s">
        <v>78</v>
      </c>
      <c r="J43" t="s">
        <v>12</v>
      </c>
    </row>
    <row r="44" spans="1:10">
      <c r="A44" s="7" t="s">
        <v>175</v>
      </c>
      <c r="B44" t="s">
        <v>80</v>
      </c>
      <c r="C44" t="s">
        <v>30</v>
      </c>
      <c r="D44" t="s">
        <v>176</v>
      </c>
      <c r="E44" t="s">
        <v>78</v>
      </c>
      <c r="J44" t="s">
        <v>12</v>
      </c>
    </row>
    <row r="45" spans="1:10">
      <c r="A45" s="7" t="s">
        <v>177</v>
      </c>
      <c r="B45" t="s">
        <v>80</v>
      </c>
      <c r="C45" t="s">
        <v>30</v>
      </c>
      <c r="D45" t="s">
        <v>178</v>
      </c>
      <c r="E45" t="s">
        <v>78</v>
      </c>
      <c r="J45"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8918"/>
  </sheetPr>
  <dimension ref="A1:J95"/>
  <sheetViews>
    <sheetView topLeftCell="A76" workbookViewId="0">
      <selection activeCell="A67" sqref="A67"/>
    </sheetView>
  </sheetViews>
  <sheetFormatPr defaultRowHeight="13.9"/>
  <cols>
    <col min="1" max="1" width="81.7109375" customWidth="1"/>
    <col min="2" max="2" width="23.7109375" customWidth="1"/>
    <col min="3" max="3" width="18.7109375" customWidth="1"/>
    <col min="4" max="4" width="44.7109375" customWidth="1"/>
    <col min="5" max="5" width="11.7109375" customWidth="1"/>
    <col min="6" max="6" width="44.7109375" customWidth="1"/>
    <col min="7" max="7" width="27.7109375" customWidth="1"/>
    <col min="8" max="8" width="22.7109375" customWidth="1"/>
    <col min="9" max="9" width="26.7109375" customWidth="1"/>
    <col min="10" max="10" width="11.7109375" customWidth="1"/>
  </cols>
  <sheetData>
    <row r="1" spans="1:10">
      <c r="A1" s="1" t="s">
        <v>19</v>
      </c>
      <c r="B1" s="1" t="s">
        <v>20</v>
      </c>
      <c r="C1" s="1" t="s">
        <v>21</v>
      </c>
      <c r="D1" s="1" t="s">
        <v>22</v>
      </c>
      <c r="E1" s="1" t="s">
        <v>23</v>
      </c>
      <c r="F1" s="1" t="s">
        <v>24</v>
      </c>
      <c r="G1" s="1" t="s">
        <v>25</v>
      </c>
      <c r="H1" s="1" t="s">
        <v>26</v>
      </c>
      <c r="I1" s="1" t="s">
        <v>27</v>
      </c>
      <c r="J1" s="1" t="s">
        <v>1</v>
      </c>
    </row>
    <row r="2" spans="1:10">
      <c r="A2" s="7" t="s">
        <v>179</v>
      </c>
      <c r="B2" t="s">
        <v>180</v>
      </c>
      <c r="C2" t="s">
        <v>30</v>
      </c>
      <c r="D2" t="s">
        <v>181</v>
      </c>
      <c r="E2" t="s">
        <v>182</v>
      </c>
      <c r="J2" t="s">
        <v>13</v>
      </c>
    </row>
    <row r="3" spans="1:10">
      <c r="A3" s="6" t="s">
        <v>183</v>
      </c>
      <c r="B3" t="s">
        <v>184</v>
      </c>
      <c r="C3" t="s">
        <v>30</v>
      </c>
      <c r="D3" t="s">
        <v>185</v>
      </c>
      <c r="E3" t="s">
        <v>32</v>
      </c>
      <c r="F3" t="s">
        <v>186</v>
      </c>
      <c r="G3" t="s">
        <v>34</v>
      </c>
      <c r="J3" t="s">
        <v>13</v>
      </c>
    </row>
    <row r="4" spans="1:10">
      <c r="A4" s="7" t="s">
        <v>187</v>
      </c>
      <c r="B4" t="s">
        <v>184</v>
      </c>
      <c r="C4" t="s">
        <v>30</v>
      </c>
      <c r="D4" t="s">
        <v>188</v>
      </c>
      <c r="E4" t="s">
        <v>182</v>
      </c>
      <c r="J4" t="s">
        <v>13</v>
      </c>
    </row>
    <row r="5" spans="1:10">
      <c r="A5" s="7" t="s">
        <v>189</v>
      </c>
      <c r="B5" t="s">
        <v>184</v>
      </c>
      <c r="C5" t="s">
        <v>30</v>
      </c>
      <c r="D5" t="s">
        <v>190</v>
      </c>
      <c r="E5" t="s">
        <v>182</v>
      </c>
      <c r="J5" t="s">
        <v>13</v>
      </c>
    </row>
    <row r="6" spans="1:10">
      <c r="A6" s="6" t="s">
        <v>191</v>
      </c>
      <c r="B6" t="s">
        <v>184</v>
      </c>
      <c r="C6" t="s">
        <v>30</v>
      </c>
      <c r="D6" t="s">
        <v>192</v>
      </c>
      <c r="E6" t="s">
        <v>32</v>
      </c>
      <c r="F6" t="s">
        <v>193</v>
      </c>
      <c r="G6" t="s">
        <v>34</v>
      </c>
      <c r="J6" t="s">
        <v>13</v>
      </c>
    </row>
    <row r="7" spans="1:10">
      <c r="A7" s="7" t="s">
        <v>194</v>
      </c>
      <c r="B7" t="s">
        <v>184</v>
      </c>
      <c r="C7" t="s">
        <v>30</v>
      </c>
      <c r="D7" t="s">
        <v>195</v>
      </c>
      <c r="E7" t="s">
        <v>182</v>
      </c>
      <c r="J7" t="s">
        <v>13</v>
      </c>
    </row>
    <row r="8" spans="1:10">
      <c r="A8" s="6" t="s">
        <v>196</v>
      </c>
      <c r="B8" t="s">
        <v>184</v>
      </c>
      <c r="C8" t="s">
        <v>30</v>
      </c>
      <c r="D8" t="s">
        <v>197</v>
      </c>
      <c r="E8" t="s">
        <v>32</v>
      </c>
      <c r="F8" t="s">
        <v>198</v>
      </c>
      <c r="G8" t="s">
        <v>34</v>
      </c>
      <c r="J8" t="s">
        <v>13</v>
      </c>
    </row>
    <row r="9" spans="1:10">
      <c r="A9" s="6" t="s">
        <v>199</v>
      </c>
      <c r="B9" t="s">
        <v>184</v>
      </c>
      <c r="C9" t="s">
        <v>30</v>
      </c>
      <c r="D9" t="s">
        <v>200</v>
      </c>
      <c r="E9" t="s">
        <v>32</v>
      </c>
      <c r="F9" t="s">
        <v>201</v>
      </c>
      <c r="G9" t="s">
        <v>34</v>
      </c>
      <c r="J9" t="s">
        <v>13</v>
      </c>
    </row>
    <row r="10" spans="1:10">
      <c r="A10" s="7" t="s">
        <v>202</v>
      </c>
      <c r="B10" t="s">
        <v>203</v>
      </c>
      <c r="C10" t="s">
        <v>30</v>
      </c>
      <c r="D10" t="s">
        <v>204</v>
      </c>
      <c r="E10" t="s">
        <v>182</v>
      </c>
      <c r="J10" t="s">
        <v>13</v>
      </c>
    </row>
    <row r="11" spans="1:10">
      <c r="A11" s="7" t="s">
        <v>205</v>
      </c>
      <c r="B11" t="s">
        <v>184</v>
      </c>
      <c r="C11" t="s">
        <v>30</v>
      </c>
      <c r="D11" t="s">
        <v>206</v>
      </c>
      <c r="E11" t="s">
        <v>182</v>
      </c>
      <c r="J11" t="s">
        <v>13</v>
      </c>
    </row>
    <row r="12" spans="1:10">
      <c r="A12" s="6" t="s">
        <v>207</v>
      </c>
      <c r="B12" t="s">
        <v>208</v>
      </c>
      <c r="C12" t="s">
        <v>30</v>
      </c>
      <c r="D12" t="s">
        <v>209</v>
      </c>
      <c r="E12" t="s">
        <v>32</v>
      </c>
      <c r="F12" t="s">
        <v>210</v>
      </c>
      <c r="G12" t="s">
        <v>34</v>
      </c>
      <c r="J12" t="s">
        <v>13</v>
      </c>
    </row>
    <row r="13" spans="1:10">
      <c r="A13" s="6" t="s">
        <v>211</v>
      </c>
      <c r="B13" t="s">
        <v>184</v>
      </c>
      <c r="C13" t="s">
        <v>30</v>
      </c>
      <c r="D13" t="s">
        <v>212</v>
      </c>
      <c r="E13" t="s">
        <v>32</v>
      </c>
      <c r="F13" t="s">
        <v>213</v>
      </c>
      <c r="G13" t="s">
        <v>34</v>
      </c>
      <c r="J13" t="s">
        <v>13</v>
      </c>
    </row>
    <row r="14" spans="1:10">
      <c r="A14" s="6" t="s">
        <v>214</v>
      </c>
      <c r="B14" t="s">
        <v>184</v>
      </c>
      <c r="C14" t="s">
        <v>30</v>
      </c>
      <c r="D14" t="s">
        <v>215</v>
      </c>
      <c r="E14" t="s">
        <v>32</v>
      </c>
      <c r="F14" t="s">
        <v>216</v>
      </c>
      <c r="G14" t="s">
        <v>34</v>
      </c>
      <c r="J14" t="s">
        <v>13</v>
      </c>
    </row>
    <row r="15" spans="1:10">
      <c r="A15" s="6" t="s">
        <v>217</v>
      </c>
      <c r="B15" t="s">
        <v>184</v>
      </c>
      <c r="C15" t="s">
        <v>30</v>
      </c>
      <c r="D15" t="s">
        <v>218</v>
      </c>
      <c r="E15" t="s">
        <v>32</v>
      </c>
      <c r="F15" t="s">
        <v>219</v>
      </c>
      <c r="G15" t="s">
        <v>34</v>
      </c>
      <c r="J15" t="s">
        <v>13</v>
      </c>
    </row>
    <row r="16" spans="1:10">
      <c r="A16" s="6" t="s">
        <v>220</v>
      </c>
      <c r="B16" t="s">
        <v>221</v>
      </c>
      <c r="C16" t="s">
        <v>30</v>
      </c>
      <c r="D16" t="s">
        <v>222</v>
      </c>
      <c r="E16" t="s">
        <v>32</v>
      </c>
      <c r="F16" t="s">
        <v>223</v>
      </c>
      <c r="G16" t="s">
        <v>34</v>
      </c>
      <c r="J16" t="s">
        <v>13</v>
      </c>
    </row>
    <row r="17" spans="1:10">
      <c r="A17" s="6" t="s">
        <v>224</v>
      </c>
      <c r="B17" t="s">
        <v>184</v>
      </c>
      <c r="C17" t="s">
        <v>30</v>
      </c>
      <c r="D17" t="s">
        <v>225</v>
      </c>
      <c r="E17" t="s">
        <v>32</v>
      </c>
      <c r="F17" t="s">
        <v>226</v>
      </c>
      <c r="G17" t="s">
        <v>34</v>
      </c>
      <c r="J17" t="s">
        <v>13</v>
      </c>
    </row>
    <row r="18" spans="1:10">
      <c r="A18" s="6" t="s">
        <v>227</v>
      </c>
      <c r="B18" t="s">
        <v>184</v>
      </c>
      <c r="C18" t="s">
        <v>30</v>
      </c>
      <c r="D18" t="s">
        <v>228</v>
      </c>
      <c r="E18" t="s">
        <v>32</v>
      </c>
      <c r="F18" t="s">
        <v>229</v>
      </c>
      <c r="G18" t="s">
        <v>34</v>
      </c>
      <c r="J18" t="s">
        <v>13</v>
      </c>
    </row>
    <row r="19" spans="1:10">
      <c r="A19" s="6" t="s">
        <v>230</v>
      </c>
      <c r="B19" t="s">
        <v>203</v>
      </c>
      <c r="C19" t="s">
        <v>30</v>
      </c>
      <c r="D19" t="s">
        <v>231</v>
      </c>
      <c r="E19" t="s">
        <v>32</v>
      </c>
      <c r="F19" t="s">
        <v>232</v>
      </c>
      <c r="G19" t="s">
        <v>34</v>
      </c>
      <c r="J19" t="s">
        <v>13</v>
      </c>
    </row>
    <row r="20" spans="1:10">
      <c r="A20" s="6" t="s">
        <v>233</v>
      </c>
      <c r="B20" t="s">
        <v>203</v>
      </c>
      <c r="C20" t="s">
        <v>30</v>
      </c>
      <c r="D20" t="s">
        <v>234</v>
      </c>
      <c r="E20" t="s">
        <v>32</v>
      </c>
      <c r="F20" t="s">
        <v>235</v>
      </c>
      <c r="G20" t="s">
        <v>34</v>
      </c>
      <c r="J20" t="s">
        <v>13</v>
      </c>
    </row>
    <row r="21" spans="1:10">
      <c r="A21" s="6" t="s">
        <v>236</v>
      </c>
      <c r="B21" t="s">
        <v>184</v>
      </c>
      <c r="C21" t="s">
        <v>30</v>
      </c>
      <c r="D21" t="s">
        <v>237</v>
      </c>
      <c r="E21" t="s">
        <v>32</v>
      </c>
      <c r="F21" t="s">
        <v>238</v>
      </c>
      <c r="G21" t="s">
        <v>34</v>
      </c>
      <c r="J21" t="s">
        <v>13</v>
      </c>
    </row>
    <row r="22" spans="1:10">
      <c r="A22" s="7" t="s">
        <v>239</v>
      </c>
      <c r="B22" t="s">
        <v>184</v>
      </c>
      <c r="C22" t="s">
        <v>30</v>
      </c>
      <c r="D22" t="s">
        <v>240</v>
      </c>
      <c r="E22" t="s">
        <v>182</v>
      </c>
      <c r="J22" t="s">
        <v>13</v>
      </c>
    </row>
    <row r="23" spans="1:10">
      <c r="A23" s="6" t="s">
        <v>241</v>
      </c>
      <c r="B23" t="s">
        <v>221</v>
      </c>
      <c r="C23" t="s">
        <v>30</v>
      </c>
      <c r="D23" t="s">
        <v>242</v>
      </c>
      <c r="E23" t="s">
        <v>32</v>
      </c>
      <c r="F23" t="s">
        <v>243</v>
      </c>
      <c r="G23" t="s">
        <v>34</v>
      </c>
      <c r="J23" t="s">
        <v>13</v>
      </c>
    </row>
    <row r="24" spans="1:10">
      <c r="A24" s="6" t="s">
        <v>244</v>
      </c>
      <c r="B24" t="s">
        <v>184</v>
      </c>
      <c r="C24" t="s">
        <v>30</v>
      </c>
      <c r="D24" t="s">
        <v>245</v>
      </c>
      <c r="E24" t="s">
        <v>32</v>
      </c>
      <c r="F24" t="s">
        <v>246</v>
      </c>
      <c r="G24" t="s">
        <v>34</v>
      </c>
      <c r="J24" t="s">
        <v>13</v>
      </c>
    </row>
    <row r="25" spans="1:10">
      <c r="A25" s="6" t="s">
        <v>247</v>
      </c>
      <c r="B25" t="s">
        <v>184</v>
      </c>
      <c r="C25" t="s">
        <v>30</v>
      </c>
      <c r="D25" t="s">
        <v>248</v>
      </c>
      <c r="E25" t="s">
        <v>32</v>
      </c>
      <c r="F25" t="s">
        <v>249</v>
      </c>
      <c r="G25" t="s">
        <v>34</v>
      </c>
      <c r="J25" t="s">
        <v>13</v>
      </c>
    </row>
    <row r="26" spans="1:10">
      <c r="A26" s="7" t="s">
        <v>250</v>
      </c>
      <c r="B26" t="s">
        <v>184</v>
      </c>
      <c r="C26" t="s">
        <v>30</v>
      </c>
      <c r="D26" t="s">
        <v>251</v>
      </c>
      <c r="E26" t="s">
        <v>182</v>
      </c>
      <c r="J26" t="s">
        <v>13</v>
      </c>
    </row>
    <row r="27" spans="1:10">
      <c r="A27" s="6" t="s">
        <v>252</v>
      </c>
      <c r="B27" t="s">
        <v>184</v>
      </c>
      <c r="C27" t="s">
        <v>30</v>
      </c>
      <c r="D27" t="s">
        <v>253</v>
      </c>
      <c r="E27" t="s">
        <v>32</v>
      </c>
      <c r="F27" t="s">
        <v>254</v>
      </c>
      <c r="G27" t="s">
        <v>34</v>
      </c>
      <c r="J27" t="s">
        <v>13</v>
      </c>
    </row>
    <row r="28" spans="1:10">
      <c r="A28" s="6" t="s">
        <v>255</v>
      </c>
      <c r="B28" t="s">
        <v>203</v>
      </c>
      <c r="C28" t="s">
        <v>30</v>
      </c>
      <c r="D28" t="s">
        <v>256</v>
      </c>
      <c r="E28" t="s">
        <v>32</v>
      </c>
      <c r="F28" t="s">
        <v>257</v>
      </c>
      <c r="G28" t="s">
        <v>34</v>
      </c>
      <c r="J28" t="s">
        <v>13</v>
      </c>
    </row>
    <row r="29" spans="1:10">
      <c r="A29" s="7" t="s">
        <v>258</v>
      </c>
      <c r="B29" t="s">
        <v>184</v>
      </c>
      <c r="C29" t="s">
        <v>30</v>
      </c>
      <c r="D29" t="s">
        <v>259</v>
      </c>
      <c r="E29" t="s">
        <v>182</v>
      </c>
      <c r="J29" t="s">
        <v>13</v>
      </c>
    </row>
    <row r="30" spans="1:10">
      <c r="A30" s="6" t="s">
        <v>260</v>
      </c>
      <c r="B30" t="s">
        <v>203</v>
      </c>
      <c r="C30" t="s">
        <v>30</v>
      </c>
      <c r="D30" t="s">
        <v>261</v>
      </c>
      <c r="E30" t="s">
        <v>32</v>
      </c>
      <c r="F30" t="s">
        <v>262</v>
      </c>
      <c r="G30" t="s">
        <v>34</v>
      </c>
      <c r="J30" t="s">
        <v>13</v>
      </c>
    </row>
    <row r="31" spans="1:10">
      <c r="A31" s="6" t="s">
        <v>263</v>
      </c>
      <c r="B31" t="s">
        <v>221</v>
      </c>
      <c r="C31" t="s">
        <v>30</v>
      </c>
      <c r="D31" t="s">
        <v>264</v>
      </c>
      <c r="E31" t="s">
        <v>32</v>
      </c>
      <c r="F31" t="s">
        <v>265</v>
      </c>
      <c r="G31" t="s">
        <v>34</v>
      </c>
      <c r="J31" t="s">
        <v>13</v>
      </c>
    </row>
    <row r="32" spans="1:10">
      <c r="A32" s="6" t="s">
        <v>266</v>
      </c>
      <c r="B32" t="s">
        <v>184</v>
      </c>
      <c r="C32" t="s">
        <v>30</v>
      </c>
      <c r="D32" t="s">
        <v>267</v>
      </c>
      <c r="E32" t="s">
        <v>32</v>
      </c>
      <c r="F32" t="s">
        <v>268</v>
      </c>
      <c r="G32" t="s">
        <v>34</v>
      </c>
      <c r="J32" t="s">
        <v>13</v>
      </c>
    </row>
    <row r="33" spans="1:10">
      <c r="A33" s="7" t="s">
        <v>269</v>
      </c>
      <c r="B33" t="s">
        <v>270</v>
      </c>
      <c r="C33" t="s">
        <v>30</v>
      </c>
      <c r="D33" t="s">
        <v>271</v>
      </c>
      <c r="E33" t="s">
        <v>182</v>
      </c>
      <c r="J33" t="s">
        <v>13</v>
      </c>
    </row>
    <row r="34" spans="1:10">
      <c r="A34" s="7" t="s">
        <v>272</v>
      </c>
      <c r="B34" t="s">
        <v>184</v>
      </c>
      <c r="C34" t="s">
        <v>30</v>
      </c>
      <c r="D34" t="s">
        <v>273</v>
      </c>
      <c r="E34" t="s">
        <v>182</v>
      </c>
      <c r="J34" t="s">
        <v>13</v>
      </c>
    </row>
    <row r="35" spans="1:10">
      <c r="A35" s="6" t="s">
        <v>274</v>
      </c>
      <c r="B35" t="s">
        <v>184</v>
      </c>
      <c r="C35" t="s">
        <v>30</v>
      </c>
      <c r="D35" t="s">
        <v>275</v>
      </c>
      <c r="E35" t="s">
        <v>32</v>
      </c>
      <c r="F35" t="s">
        <v>276</v>
      </c>
      <c r="G35" t="s">
        <v>34</v>
      </c>
      <c r="J35" t="s">
        <v>13</v>
      </c>
    </row>
    <row r="36" spans="1:10">
      <c r="A36" s="6" t="s">
        <v>277</v>
      </c>
      <c r="B36" t="s">
        <v>221</v>
      </c>
      <c r="C36" t="s">
        <v>30</v>
      </c>
      <c r="D36" t="s">
        <v>278</v>
      </c>
      <c r="E36" t="s">
        <v>32</v>
      </c>
      <c r="F36" t="s">
        <v>279</v>
      </c>
      <c r="G36" t="s">
        <v>34</v>
      </c>
      <c r="J36" t="s">
        <v>13</v>
      </c>
    </row>
    <row r="37" spans="1:10">
      <c r="A37" s="7" t="s">
        <v>280</v>
      </c>
      <c r="B37" t="s">
        <v>203</v>
      </c>
      <c r="C37" t="s">
        <v>30</v>
      </c>
      <c r="D37" t="s">
        <v>281</v>
      </c>
      <c r="E37" t="s">
        <v>182</v>
      </c>
      <c r="J37" t="s">
        <v>13</v>
      </c>
    </row>
    <row r="38" spans="1:10">
      <c r="A38" s="6" t="s">
        <v>282</v>
      </c>
      <c r="B38" t="s">
        <v>203</v>
      </c>
      <c r="C38" t="s">
        <v>30</v>
      </c>
      <c r="D38" t="s">
        <v>283</v>
      </c>
      <c r="E38" t="s">
        <v>32</v>
      </c>
      <c r="F38" t="s">
        <v>284</v>
      </c>
      <c r="G38" t="s">
        <v>34</v>
      </c>
      <c r="J38" t="s">
        <v>13</v>
      </c>
    </row>
    <row r="39" spans="1:10">
      <c r="A39" s="7" t="s">
        <v>285</v>
      </c>
      <c r="B39" t="s">
        <v>286</v>
      </c>
      <c r="C39" t="s">
        <v>30</v>
      </c>
      <c r="D39" t="s">
        <v>287</v>
      </c>
      <c r="E39" t="s">
        <v>182</v>
      </c>
      <c r="J39" t="s">
        <v>13</v>
      </c>
    </row>
    <row r="40" spans="1:10">
      <c r="A40" s="7" t="s">
        <v>288</v>
      </c>
      <c r="B40" t="s">
        <v>184</v>
      </c>
      <c r="C40" t="s">
        <v>30</v>
      </c>
      <c r="D40" t="s">
        <v>289</v>
      </c>
      <c r="E40" t="s">
        <v>182</v>
      </c>
      <c r="J40" t="s">
        <v>13</v>
      </c>
    </row>
    <row r="41" spans="1:10">
      <c r="A41" s="6" t="s">
        <v>290</v>
      </c>
      <c r="B41" t="s">
        <v>184</v>
      </c>
      <c r="C41" t="s">
        <v>30</v>
      </c>
      <c r="D41" t="s">
        <v>291</v>
      </c>
      <c r="E41" t="s">
        <v>32</v>
      </c>
      <c r="F41" t="s">
        <v>292</v>
      </c>
      <c r="G41" t="s">
        <v>34</v>
      </c>
      <c r="J41" t="s">
        <v>13</v>
      </c>
    </row>
    <row r="42" spans="1:10">
      <c r="A42" s="7" t="s">
        <v>293</v>
      </c>
      <c r="B42" t="s">
        <v>184</v>
      </c>
      <c r="C42" t="s">
        <v>30</v>
      </c>
      <c r="D42" t="s">
        <v>294</v>
      </c>
      <c r="E42" t="s">
        <v>182</v>
      </c>
      <c r="J42" t="s">
        <v>13</v>
      </c>
    </row>
    <row r="43" spans="1:10">
      <c r="A43" s="7" t="s">
        <v>295</v>
      </c>
      <c r="B43" t="s">
        <v>184</v>
      </c>
      <c r="C43" t="s">
        <v>30</v>
      </c>
      <c r="D43" t="s">
        <v>296</v>
      </c>
      <c r="E43" t="s">
        <v>182</v>
      </c>
      <c r="J43" t="s">
        <v>13</v>
      </c>
    </row>
    <row r="44" spans="1:10">
      <c r="A44" s="7" t="s">
        <v>297</v>
      </c>
      <c r="B44" t="s">
        <v>184</v>
      </c>
      <c r="C44" t="s">
        <v>30</v>
      </c>
      <c r="D44" t="s">
        <v>298</v>
      </c>
      <c r="E44" t="s">
        <v>182</v>
      </c>
      <c r="J44" t="s">
        <v>13</v>
      </c>
    </row>
    <row r="45" spans="1:10">
      <c r="A45" s="7" t="s">
        <v>299</v>
      </c>
      <c r="B45" t="s">
        <v>184</v>
      </c>
      <c r="C45" t="s">
        <v>30</v>
      </c>
      <c r="D45" t="s">
        <v>300</v>
      </c>
      <c r="E45" t="s">
        <v>182</v>
      </c>
      <c r="J45" t="s">
        <v>13</v>
      </c>
    </row>
    <row r="46" spans="1:10">
      <c r="A46" s="6" t="s">
        <v>301</v>
      </c>
      <c r="B46" t="s">
        <v>221</v>
      </c>
      <c r="C46" t="s">
        <v>30</v>
      </c>
      <c r="D46" t="s">
        <v>302</v>
      </c>
      <c r="E46" t="s">
        <v>32</v>
      </c>
      <c r="F46" t="s">
        <v>303</v>
      </c>
      <c r="G46" t="s">
        <v>34</v>
      </c>
      <c r="J46" t="s">
        <v>13</v>
      </c>
    </row>
    <row r="47" spans="1:10">
      <c r="A47" s="6" t="s">
        <v>304</v>
      </c>
      <c r="B47" t="s">
        <v>221</v>
      </c>
      <c r="C47" t="s">
        <v>30</v>
      </c>
      <c r="D47" t="s">
        <v>305</v>
      </c>
      <c r="E47" t="s">
        <v>32</v>
      </c>
      <c r="F47" t="s">
        <v>306</v>
      </c>
      <c r="G47" t="s">
        <v>34</v>
      </c>
      <c r="J47" t="s">
        <v>13</v>
      </c>
    </row>
    <row r="48" spans="1:10">
      <c r="A48" s="7" t="s">
        <v>307</v>
      </c>
      <c r="B48" t="s">
        <v>184</v>
      </c>
      <c r="C48" t="s">
        <v>30</v>
      </c>
      <c r="D48" t="s">
        <v>308</v>
      </c>
      <c r="E48" t="s">
        <v>182</v>
      </c>
      <c r="J48" t="s">
        <v>13</v>
      </c>
    </row>
    <row r="49" spans="1:10">
      <c r="A49" s="6" t="s">
        <v>309</v>
      </c>
      <c r="B49" t="s">
        <v>221</v>
      </c>
      <c r="C49" t="s">
        <v>30</v>
      </c>
      <c r="D49" t="s">
        <v>310</v>
      </c>
      <c r="E49" t="s">
        <v>32</v>
      </c>
      <c r="F49" t="s">
        <v>311</v>
      </c>
      <c r="G49" t="s">
        <v>34</v>
      </c>
      <c r="J49" t="s">
        <v>13</v>
      </c>
    </row>
    <row r="50" spans="1:10">
      <c r="A50" s="6" t="s">
        <v>312</v>
      </c>
      <c r="B50" t="s">
        <v>184</v>
      </c>
      <c r="C50" t="s">
        <v>30</v>
      </c>
      <c r="D50" t="s">
        <v>313</v>
      </c>
      <c r="E50" t="s">
        <v>32</v>
      </c>
      <c r="F50" t="s">
        <v>314</v>
      </c>
      <c r="G50" t="s">
        <v>34</v>
      </c>
      <c r="J50" t="s">
        <v>13</v>
      </c>
    </row>
    <row r="51" spans="1:10">
      <c r="A51" s="6" t="s">
        <v>315</v>
      </c>
      <c r="B51" t="s">
        <v>286</v>
      </c>
      <c r="C51" t="s">
        <v>30</v>
      </c>
      <c r="D51" t="s">
        <v>316</v>
      </c>
      <c r="E51" t="s">
        <v>32</v>
      </c>
      <c r="F51" t="s">
        <v>317</v>
      </c>
      <c r="G51" t="s">
        <v>34</v>
      </c>
      <c r="J51" t="s">
        <v>13</v>
      </c>
    </row>
    <row r="52" spans="1:10">
      <c r="A52" s="6" t="s">
        <v>318</v>
      </c>
      <c r="B52" t="s">
        <v>184</v>
      </c>
      <c r="C52" t="s">
        <v>30</v>
      </c>
      <c r="D52" t="s">
        <v>319</v>
      </c>
      <c r="E52" t="s">
        <v>32</v>
      </c>
      <c r="F52" t="s">
        <v>320</v>
      </c>
      <c r="G52" t="s">
        <v>34</v>
      </c>
      <c r="J52" t="s">
        <v>13</v>
      </c>
    </row>
    <row r="53" spans="1:10">
      <c r="A53" s="7" t="s">
        <v>321</v>
      </c>
      <c r="B53" t="s">
        <v>203</v>
      </c>
      <c r="C53" t="s">
        <v>30</v>
      </c>
      <c r="D53" t="s">
        <v>322</v>
      </c>
      <c r="E53" t="s">
        <v>182</v>
      </c>
      <c r="J53" t="s">
        <v>13</v>
      </c>
    </row>
    <row r="54" spans="1:10">
      <c r="A54" s="6" t="s">
        <v>323</v>
      </c>
      <c r="B54" t="s">
        <v>221</v>
      </c>
      <c r="C54" t="s">
        <v>30</v>
      </c>
      <c r="D54" t="s">
        <v>324</v>
      </c>
      <c r="E54" t="s">
        <v>32</v>
      </c>
      <c r="F54" t="s">
        <v>325</v>
      </c>
      <c r="G54" t="s">
        <v>34</v>
      </c>
      <c r="J54" t="s">
        <v>13</v>
      </c>
    </row>
    <row r="55" spans="1:10">
      <c r="A55" s="7" t="s">
        <v>326</v>
      </c>
      <c r="B55" t="s">
        <v>184</v>
      </c>
      <c r="C55" t="s">
        <v>30</v>
      </c>
      <c r="D55" t="s">
        <v>327</v>
      </c>
      <c r="E55" t="s">
        <v>182</v>
      </c>
      <c r="J55" t="s">
        <v>13</v>
      </c>
    </row>
    <row r="56" spans="1:10">
      <c r="A56" s="7" t="s">
        <v>328</v>
      </c>
      <c r="B56" t="s">
        <v>184</v>
      </c>
      <c r="C56" t="s">
        <v>30</v>
      </c>
      <c r="D56" t="s">
        <v>329</v>
      </c>
      <c r="E56" t="s">
        <v>182</v>
      </c>
      <c r="J56" t="s">
        <v>13</v>
      </c>
    </row>
    <row r="57" spans="1:10">
      <c r="A57" s="6" t="s">
        <v>330</v>
      </c>
      <c r="B57" t="s">
        <v>184</v>
      </c>
      <c r="C57" t="s">
        <v>30</v>
      </c>
      <c r="D57" t="s">
        <v>331</v>
      </c>
      <c r="E57" t="s">
        <v>32</v>
      </c>
      <c r="F57" t="s">
        <v>332</v>
      </c>
      <c r="G57" t="s">
        <v>34</v>
      </c>
      <c r="J57" t="s">
        <v>13</v>
      </c>
    </row>
    <row r="58" spans="1:10">
      <c r="A58" s="6" t="s">
        <v>333</v>
      </c>
      <c r="B58" t="s">
        <v>184</v>
      </c>
      <c r="C58" t="s">
        <v>30</v>
      </c>
      <c r="D58" t="s">
        <v>334</v>
      </c>
      <c r="E58" t="s">
        <v>32</v>
      </c>
      <c r="F58" t="s">
        <v>335</v>
      </c>
      <c r="G58" t="s">
        <v>34</v>
      </c>
      <c r="J58" t="s">
        <v>13</v>
      </c>
    </row>
    <row r="59" spans="1:10">
      <c r="A59" s="6" t="s">
        <v>336</v>
      </c>
      <c r="B59" t="s">
        <v>221</v>
      </c>
      <c r="C59" t="s">
        <v>30</v>
      </c>
      <c r="D59" t="s">
        <v>337</v>
      </c>
      <c r="E59" t="s">
        <v>32</v>
      </c>
      <c r="F59" t="s">
        <v>338</v>
      </c>
      <c r="G59" t="s">
        <v>34</v>
      </c>
      <c r="J59" t="s">
        <v>13</v>
      </c>
    </row>
    <row r="60" spans="1:10">
      <c r="A60" s="6" t="s">
        <v>339</v>
      </c>
      <c r="B60" t="s">
        <v>184</v>
      </c>
      <c r="C60" t="s">
        <v>30</v>
      </c>
      <c r="D60" t="s">
        <v>340</v>
      </c>
      <c r="E60" t="s">
        <v>32</v>
      </c>
      <c r="F60" t="s">
        <v>341</v>
      </c>
      <c r="G60" t="s">
        <v>34</v>
      </c>
      <c r="J60" t="s">
        <v>13</v>
      </c>
    </row>
    <row r="61" spans="1:10">
      <c r="A61" s="6" t="s">
        <v>342</v>
      </c>
      <c r="B61" t="s">
        <v>221</v>
      </c>
      <c r="C61" t="s">
        <v>30</v>
      </c>
      <c r="D61" t="s">
        <v>343</v>
      </c>
      <c r="E61" t="s">
        <v>32</v>
      </c>
      <c r="F61" t="s">
        <v>344</v>
      </c>
      <c r="G61" t="s">
        <v>34</v>
      </c>
      <c r="J61" t="s">
        <v>13</v>
      </c>
    </row>
    <row r="62" spans="1:10">
      <c r="A62" s="7" t="s">
        <v>345</v>
      </c>
      <c r="B62" t="s">
        <v>184</v>
      </c>
      <c r="C62" t="s">
        <v>30</v>
      </c>
      <c r="D62" t="s">
        <v>346</v>
      </c>
      <c r="E62" t="s">
        <v>182</v>
      </c>
      <c r="J62" t="s">
        <v>13</v>
      </c>
    </row>
    <row r="63" spans="1:10">
      <c r="A63" s="6" t="s">
        <v>347</v>
      </c>
      <c r="B63" t="s">
        <v>348</v>
      </c>
      <c r="C63" t="s">
        <v>30</v>
      </c>
      <c r="D63" t="s">
        <v>349</v>
      </c>
      <c r="E63" t="s">
        <v>32</v>
      </c>
      <c r="F63" t="s">
        <v>350</v>
      </c>
      <c r="G63" t="s">
        <v>351</v>
      </c>
      <c r="J63" t="s">
        <v>13</v>
      </c>
    </row>
    <row r="64" spans="1:10">
      <c r="A64" s="6" t="s">
        <v>352</v>
      </c>
      <c r="B64" t="s">
        <v>184</v>
      </c>
      <c r="C64" t="s">
        <v>30</v>
      </c>
      <c r="D64" t="s">
        <v>353</v>
      </c>
      <c r="E64" t="s">
        <v>32</v>
      </c>
      <c r="F64" t="s">
        <v>354</v>
      </c>
      <c r="G64" t="s">
        <v>34</v>
      </c>
      <c r="J64" t="s">
        <v>13</v>
      </c>
    </row>
    <row r="65" spans="1:10">
      <c r="A65" s="6" t="s">
        <v>355</v>
      </c>
      <c r="B65" t="s">
        <v>184</v>
      </c>
      <c r="C65" t="s">
        <v>30</v>
      </c>
      <c r="D65" t="s">
        <v>356</v>
      </c>
      <c r="E65" t="s">
        <v>32</v>
      </c>
      <c r="F65" t="s">
        <v>357</v>
      </c>
      <c r="G65" t="s">
        <v>34</v>
      </c>
      <c r="J65" t="s">
        <v>13</v>
      </c>
    </row>
    <row r="66" spans="1:10">
      <c r="A66" s="7" t="s">
        <v>358</v>
      </c>
      <c r="B66" t="s">
        <v>359</v>
      </c>
      <c r="C66" t="s">
        <v>30</v>
      </c>
      <c r="D66" t="s">
        <v>360</v>
      </c>
      <c r="E66" t="s">
        <v>182</v>
      </c>
      <c r="J66" t="s">
        <v>13</v>
      </c>
    </row>
    <row r="67" spans="1:10">
      <c r="A67" s="7" t="s">
        <v>361</v>
      </c>
      <c r="B67" t="s">
        <v>184</v>
      </c>
      <c r="C67" t="s">
        <v>30</v>
      </c>
      <c r="D67" t="s">
        <v>362</v>
      </c>
      <c r="E67" t="s">
        <v>182</v>
      </c>
      <c r="J67" t="s">
        <v>13</v>
      </c>
    </row>
    <row r="68" spans="1:10">
      <c r="A68" s="6" t="s">
        <v>363</v>
      </c>
      <c r="B68" t="s">
        <v>184</v>
      </c>
      <c r="C68" t="s">
        <v>30</v>
      </c>
      <c r="D68" t="s">
        <v>364</v>
      </c>
      <c r="E68" t="s">
        <v>32</v>
      </c>
      <c r="F68" t="s">
        <v>365</v>
      </c>
      <c r="G68" t="s">
        <v>34</v>
      </c>
      <c r="J68" t="s">
        <v>13</v>
      </c>
    </row>
    <row r="69" spans="1:10">
      <c r="A69" s="7" t="s">
        <v>366</v>
      </c>
      <c r="B69" t="s">
        <v>184</v>
      </c>
      <c r="C69" t="s">
        <v>30</v>
      </c>
      <c r="D69" t="s">
        <v>367</v>
      </c>
      <c r="E69" t="s">
        <v>182</v>
      </c>
      <c r="J69" t="s">
        <v>13</v>
      </c>
    </row>
    <row r="70" spans="1:10">
      <c r="A70" s="6" t="s">
        <v>368</v>
      </c>
      <c r="B70" t="s">
        <v>221</v>
      </c>
      <c r="C70" t="s">
        <v>30</v>
      </c>
      <c r="D70" t="s">
        <v>369</v>
      </c>
      <c r="E70" t="s">
        <v>32</v>
      </c>
      <c r="F70" t="s">
        <v>370</v>
      </c>
      <c r="G70" t="s">
        <v>34</v>
      </c>
      <c r="J70" t="s">
        <v>13</v>
      </c>
    </row>
    <row r="71" spans="1:10">
      <c r="A71" s="7" t="s">
        <v>371</v>
      </c>
      <c r="B71" t="s">
        <v>184</v>
      </c>
      <c r="C71" t="s">
        <v>30</v>
      </c>
      <c r="D71" t="s">
        <v>372</v>
      </c>
      <c r="E71" t="s">
        <v>182</v>
      </c>
      <c r="J71" t="s">
        <v>13</v>
      </c>
    </row>
    <row r="72" spans="1:10">
      <c r="A72" s="6" t="s">
        <v>373</v>
      </c>
      <c r="B72" t="s">
        <v>184</v>
      </c>
      <c r="C72" t="s">
        <v>30</v>
      </c>
      <c r="D72" t="s">
        <v>374</v>
      </c>
      <c r="E72" t="s">
        <v>32</v>
      </c>
      <c r="F72" t="s">
        <v>375</v>
      </c>
      <c r="G72" t="s">
        <v>34</v>
      </c>
      <c r="J72" t="s">
        <v>13</v>
      </c>
    </row>
    <row r="73" spans="1:10">
      <c r="A73" s="6" t="s">
        <v>376</v>
      </c>
      <c r="B73" t="s">
        <v>203</v>
      </c>
      <c r="C73" t="s">
        <v>30</v>
      </c>
      <c r="D73" t="s">
        <v>377</v>
      </c>
      <c r="E73" t="s">
        <v>32</v>
      </c>
      <c r="F73" t="s">
        <v>378</v>
      </c>
      <c r="G73" t="s">
        <v>34</v>
      </c>
      <c r="J73" t="s">
        <v>13</v>
      </c>
    </row>
    <row r="74" spans="1:10">
      <c r="A74" s="6" t="s">
        <v>379</v>
      </c>
      <c r="B74" t="s">
        <v>221</v>
      </c>
      <c r="C74" t="s">
        <v>30</v>
      </c>
      <c r="D74" t="s">
        <v>380</v>
      </c>
      <c r="E74" t="s">
        <v>32</v>
      </c>
      <c r="F74" t="s">
        <v>381</v>
      </c>
      <c r="G74" t="s">
        <v>34</v>
      </c>
      <c r="J74" t="s">
        <v>13</v>
      </c>
    </row>
    <row r="75" spans="1:10">
      <c r="A75" s="7" t="s">
        <v>382</v>
      </c>
      <c r="B75" t="s">
        <v>203</v>
      </c>
      <c r="C75" t="s">
        <v>30</v>
      </c>
      <c r="D75" t="s">
        <v>383</v>
      </c>
      <c r="E75" t="s">
        <v>182</v>
      </c>
      <c r="J75" t="s">
        <v>13</v>
      </c>
    </row>
    <row r="76" spans="1:10">
      <c r="A76" s="7" t="s">
        <v>384</v>
      </c>
      <c r="B76" t="s">
        <v>203</v>
      </c>
      <c r="C76" t="s">
        <v>30</v>
      </c>
      <c r="D76" t="s">
        <v>385</v>
      </c>
      <c r="E76" t="s">
        <v>182</v>
      </c>
      <c r="J76" t="s">
        <v>13</v>
      </c>
    </row>
    <row r="77" spans="1:10">
      <c r="A77" s="7" t="s">
        <v>386</v>
      </c>
      <c r="B77" t="s">
        <v>184</v>
      </c>
      <c r="C77" t="s">
        <v>30</v>
      </c>
      <c r="D77" t="s">
        <v>387</v>
      </c>
      <c r="E77" t="s">
        <v>182</v>
      </c>
      <c r="J77" t="s">
        <v>13</v>
      </c>
    </row>
    <row r="78" spans="1:10">
      <c r="A78" s="7" t="s">
        <v>388</v>
      </c>
      <c r="B78" t="s">
        <v>184</v>
      </c>
      <c r="C78" t="s">
        <v>30</v>
      </c>
      <c r="D78" t="s">
        <v>389</v>
      </c>
      <c r="E78" t="s">
        <v>182</v>
      </c>
      <c r="J78" t="s">
        <v>13</v>
      </c>
    </row>
    <row r="79" spans="1:10">
      <c r="A79" s="6" t="s">
        <v>390</v>
      </c>
      <c r="B79" t="s">
        <v>221</v>
      </c>
      <c r="C79" t="s">
        <v>30</v>
      </c>
      <c r="D79" t="s">
        <v>391</v>
      </c>
      <c r="E79" t="s">
        <v>32</v>
      </c>
      <c r="F79" t="s">
        <v>392</v>
      </c>
      <c r="G79" t="s">
        <v>34</v>
      </c>
      <c r="J79" t="s">
        <v>13</v>
      </c>
    </row>
    <row r="80" spans="1:10">
      <c r="A80" s="7" t="s">
        <v>393</v>
      </c>
      <c r="B80" t="s">
        <v>184</v>
      </c>
      <c r="C80" t="s">
        <v>30</v>
      </c>
      <c r="D80" t="s">
        <v>394</v>
      </c>
      <c r="E80" t="s">
        <v>182</v>
      </c>
      <c r="J80" t="s">
        <v>13</v>
      </c>
    </row>
    <row r="81" spans="1:10">
      <c r="A81" s="6" t="s">
        <v>395</v>
      </c>
      <c r="B81" t="s">
        <v>396</v>
      </c>
      <c r="C81" t="s">
        <v>30</v>
      </c>
      <c r="D81" t="s">
        <v>397</v>
      </c>
      <c r="E81" t="s">
        <v>32</v>
      </c>
      <c r="F81" t="s">
        <v>398</v>
      </c>
      <c r="G81" t="s">
        <v>34</v>
      </c>
      <c r="J81" t="s">
        <v>13</v>
      </c>
    </row>
    <row r="82" spans="1:10">
      <c r="A82" s="6" t="s">
        <v>399</v>
      </c>
      <c r="B82" t="s">
        <v>184</v>
      </c>
      <c r="C82" t="s">
        <v>30</v>
      </c>
      <c r="D82" t="s">
        <v>400</v>
      </c>
      <c r="E82" t="s">
        <v>32</v>
      </c>
      <c r="F82" t="s">
        <v>401</v>
      </c>
      <c r="G82" t="s">
        <v>34</v>
      </c>
      <c r="J82" t="s">
        <v>13</v>
      </c>
    </row>
    <row r="83" spans="1:10">
      <c r="A83" s="6" t="s">
        <v>402</v>
      </c>
      <c r="B83" t="s">
        <v>203</v>
      </c>
      <c r="C83" t="s">
        <v>30</v>
      </c>
      <c r="D83" t="s">
        <v>403</v>
      </c>
      <c r="E83" t="s">
        <v>32</v>
      </c>
      <c r="F83" t="s">
        <v>404</v>
      </c>
      <c r="G83" t="s">
        <v>34</v>
      </c>
      <c r="J83" t="s">
        <v>13</v>
      </c>
    </row>
    <row r="84" spans="1:10">
      <c r="A84" s="6" t="s">
        <v>405</v>
      </c>
      <c r="B84" t="s">
        <v>286</v>
      </c>
      <c r="C84" t="s">
        <v>30</v>
      </c>
      <c r="D84" t="s">
        <v>406</v>
      </c>
      <c r="E84" t="s">
        <v>32</v>
      </c>
      <c r="F84" t="s">
        <v>407</v>
      </c>
      <c r="G84" t="s">
        <v>34</v>
      </c>
      <c r="J84" t="s">
        <v>13</v>
      </c>
    </row>
    <row r="85" spans="1:10">
      <c r="A85" s="6" t="s">
        <v>408</v>
      </c>
      <c r="B85" t="s">
        <v>184</v>
      </c>
      <c r="C85" t="s">
        <v>30</v>
      </c>
      <c r="D85" t="s">
        <v>409</v>
      </c>
      <c r="E85" t="s">
        <v>32</v>
      </c>
      <c r="F85" t="s">
        <v>410</v>
      </c>
      <c r="G85" t="s">
        <v>34</v>
      </c>
      <c r="J85" t="s">
        <v>13</v>
      </c>
    </row>
    <row r="86" spans="1:10">
      <c r="A86" s="7" t="s">
        <v>411</v>
      </c>
      <c r="B86" t="s">
        <v>270</v>
      </c>
      <c r="C86" t="s">
        <v>30</v>
      </c>
      <c r="D86" t="s">
        <v>412</v>
      </c>
      <c r="E86" t="s">
        <v>182</v>
      </c>
      <c r="J86" t="s">
        <v>13</v>
      </c>
    </row>
    <row r="87" spans="1:10">
      <c r="A87" s="6" t="s">
        <v>413</v>
      </c>
      <c r="B87" t="s">
        <v>221</v>
      </c>
      <c r="C87" t="s">
        <v>30</v>
      </c>
      <c r="D87" t="s">
        <v>414</v>
      </c>
      <c r="E87" t="s">
        <v>32</v>
      </c>
      <c r="F87" t="s">
        <v>415</v>
      </c>
      <c r="G87" t="s">
        <v>34</v>
      </c>
      <c r="J87" t="s">
        <v>13</v>
      </c>
    </row>
    <row r="88" spans="1:10">
      <c r="A88" s="6" t="s">
        <v>416</v>
      </c>
      <c r="B88" t="s">
        <v>221</v>
      </c>
      <c r="C88" t="s">
        <v>30</v>
      </c>
      <c r="D88" t="s">
        <v>417</v>
      </c>
      <c r="E88" t="s">
        <v>32</v>
      </c>
      <c r="F88" t="s">
        <v>418</v>
      </c>
      <c r="G88" t="s">
        <v>34</v>
      </c>
      <c r="J88" t="s">
        <v>13</v>
      </c>
    </row>
    <row r="89" spans="1:10">
      <c r="A89" s="6" t="s">
        <v>419</v>
      </c>
      <c r="B89" t="s">
        <v>184</v>
      </c>
      <c r="C89" t="s">
        <v>30</v>
      </c>
      <c r="D89" t="s">
        <v>420</v>
      </c>
      <c r="E89" t="s">
        <v>32</v>
      </c>
      <c r="F89" t="s">
        <v>421</v>
      </c>
      <c r="G89" t="s">
        <v>34</v>
      </c>
      <c r="J89" t="s">
        <v>13</v>
      </c>
    </row>
    <row r="90" spans="1:10">
      <c r="A90" s="7" t="s">
        <v>422</v>
      </c>
      <c r="B90" t="s">
        <v>203</v>
      </c>
      <c r="C90" t="s">
        <v>30</v>
      </c>
      <c r="D90" t="s">
        <v>423</v>
      </c>
      <c r="E90" t="s">
        <v>182</v>
      </c>
      <c r="J90" t="s">
        <v>13</v>
      </c>
    </row>
    <row r="91" spans="1:10">
      <c r="A91" s="6" t="s">
        <v>424</v>
      </c>
      <c r="B91" t="s">
        <v>184</v>
      </c>
      <c r="C91" t="s">
        <v>30</v>
      </c>
      <c r="D91" t="s">
        <v>425</v>
      </c>
      <c r="E91" t="s">
        <v>32</v>
      </c>
      <c r="F91" t="s">
        <v>426</v>
      </c>
      <c r="G91" t="s">
        <v>34</v>
      </c>
      <c r="J91" t="s">
        <v>13</v>
      </c>
    </row>
    <row r="92" spans="1:10">
      <c r="A92" s="6" t="s">
        <v>427</v>
      </c>
      <c r="B92" t="s">
        <v>184</v>
      </c>
      <c r="C92" t="s">
        <v>30</v>
      </c>
      <c r="D92" t="s">
        <v>428</v>
      </c>
      <c r="E92" t="s">
        <v>32</v>
      </c>
      <c r="F92" t="s">
        <v>429</v>
      </c>
      <c r="G92" t="s">
        <v>34</v>
      </c>
      <c r="J92" t="s">
        <v>13</v>
      </c>
    </row>
    <row r="93" spans="1:10">
      <c r="A93" s="7" t="s">
        <v>430</v>
      </c>
      <c r="B93" t="s">
        <v>184</v>
      </c>
      <c r="C93" t="s">
        <v>30</v>
      </c>
      <c r="D93" t="s">
        <v>431</v>
      </c>
      <c r="E93" t="s">
        <v>182</v>
      </c>
      <c r="J93" t="s">
        <v>13</v>
      </c>
    </row>
    <row r="94" spans="1:10">
      <c r="A94" s="6" t="s">
        <v>432</v>
      </c>
      <c r="B94" t="s">
        <v>221</v>
      </c>
      <c r="C94" t="s">
        <v>30</v>
      </c>
      <c r="D94" t="s">
        <v>433</v>
      </c>
      <c r="E94" t="s">
        <v>32</v>
      </c>
      <c r="F94" t="s">
        <v>434</v>
      </c>
      <c r="G94" t="s">
        <v>34</v>
      </c>
      <c r="J94" t="s">
        <v>13</v>
      </c>
    </row>
    <row r="95" spans="1:10">
      <c r="A95" s="6" t="s">
        <v>435</v>
      </c>
      <c r="B95" t="s">
        <v>76</v>
      </c>
      <c r="C95" t="s">
        <v>30</v>
      </c>
      <c r="D95" t="s">
        <v>436</v>
      </c>
      <c r="E95" t="s">
        <v>32</v>
      </c>
      <c r="F95" t="s">
        <v>437</v>
      </c>
      <c r="G95" t="s">
        <v>34</v>
      </c>
      <c r="J95"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C8918"/>
  </sheetPr>
  <dimension ref="A1:J3"/>
  <sheetViews>
    <sheetView workbookViewId="0">
      <selection activeCell="A2" sqref="A2"/>
    </sheetView>
  </sheetViews>
  <sheetFormatPr defaultRowHeight="13.9"/>
  <cols>
    <col min="1" max="1" width="62.7109375" customWidth="1"/>
    <col min="2" max="2" width="23.7109375" customWidth="1"/>
    <col min="3" max="3" width="18.7109375" customWidth="1"/>
    <col min="4" max="4" width="44.7109375" customWidth="1"/>
    <col min="5" max="5" width="16.7109375" customWidth="1"/>
    <col min="6" max="6" width="19.7109375" customWidth="1"/>
    <col min="7" max="7" width="27.7109375" customWidth="1"/>
    <col min="8" max="8" width="22.7109375" customWidth="1"/>
    <col min="9" max="9" width="67.7109375" customWidth="1"/>
    <col min="10" max="10" width="11.7109375" customWidth="1"/>
  </cols>
  <sheetData>
    <row r="1" spans="1:10">
      <c r="A1" s="1" t="s">
        <v>19</v>
      </c>
      <c r="B1" s="1" t="s">
        <v>20</v>
      </c>
      <c r="C1" s="1" t="s">
        <v>21</v>
      </c>
      <c r="D1" s="1" t="s">
        <v>22</v>
      </c>
      <c r="E1" s="1" t="s">
        <v>23</v>
      </c>
      <c r="F1" s="1" t="s">
        <v>24</v>
      </c>
      <c r="G1" s="1" t="s">
        <v>25</v>
      </c>
      <c r="H1" s="1" t="s">
        <v>26</v>
      </c>
      <c r="I1" s="1" t="s">
        <v>27</v>
      </c>
      <c r="J1" s="1" t="s">
        <v>1</v>
      </c>
    </row>
    <row r="2" spans="1:10">
      <c r="A2" s="7" t="s">
        <v>438</v>
      </c>
      <c r="B2" t="s">
        <v>439</v>
      </c>
      <c r="C2" t="s">
        <v>30</v>
      </c>
      <c r="D2" t="s">
        <v>440</v>
      </c>
      <c r="E2" t="s">
        <v>44</v>
      </c>
      <c r="J2" t="s">
        <v>14</v>
      </c>
    </row>
    <row r="3" spans="1:10">
      <c r="A3" s="7" t="s">
        <v>441</v>
      </c>
      <c r="B3" t="s">
        <v>442</v>
      </c>
      <c r="C3" t="s">
        <v>30</v>
      </c>
      <c r="D3" t="s">
        <v>443</v>
      </c>
      <c r="E3" t="s">
        <v>78</v>
      </c>
      <c r="H3" t="s">
        <v>39</v>
      </c>
      <c r="I3" t="s">
        <v>444</v>
      </c>
      <c r="J3"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8528B355CCD104D8132BD6D4E654C67" ma:contentTypeVersion="16" ma:contentTypeDescription="Create a new document." ma:contentTypeScope="" ma:versionID="b2182863f43590053b1440dbbc66973c">
  <xsd:schema xmlns:xsd="http://www.w3.org/2001/XMLSchema" xmlns:xs="http://www.w3.org/2001/XMLSchema" xmlns:p="http://schemas.microsoft.com/office/2006/metadata/properties" xmlns:ns2="44f9f57e-699e-44be-84dd-2d841a10209f" xmlns:ns3="f69eeb45-6642-4661-9b25-660291586c26" xmlns:ns4="a7bc6c04-a6f3-4b85-abcc-278c78dc556b" targetNamespace="http://schemas.microsoft.com/office/2006/metadata/properties" ma:root="true" ma:fieldsID="148c7685b71c63215a3ca446bfe17700" ns2:_="" ns3:_="" ns4:_="">
    <xsd:import namespace="44f9f57e-699e-44be-84dd-2d841a10209f"/>
    <xsd:import namespace="f69eeb45-6642-4661-9b25-660291586c2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f9f57e-699e-44be-84dd-2d841a102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9eeb45-6642-4661-9b25-660291586c2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471f535-eaf9-433b-a29c-76c92a37fd8c}" ma:internalName="TaxCatchAll" ma:showField="CatchAllData" ma:web="f69eeb45-6642-4661-9b25-660291586c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f9f57e-699e-44be-84dd-2d841a10209f">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36DA7069-79FF-4D93-A79B-0B0DF0E0AAF0}"/>
</file>

<file path=customXml/itemProps2.xml><?xml version="1.0" encoding="utf-8"?>
<ds:datastoreItem xmlns:ds="http://schemas.openxmlformats.org/officeDocument/2006/customXml" ds:itemID="{8D9246B5-ED6A-459C-B2ED-070FA494AA79}"/>
</file>

<file path=customXml/itemProps3.xml><?xml version="1.0" encoding="utf-8"?>
<ds:datastoreItem xmlns:ds="http://schemas.openxmlformats.org/officeDocument/2006/customXml" ds:itemID="{C5C00E2A-61A3-4A88-9C25-1D001ABE56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Dutta, Ranjan</cp:lastModifiedBy>
  <cp:revision/>
  <dcterms:created xsi:type="dcterms:W3CDTF">2026-03-08T19:18:36Z</dcterms:created>
  <dcterms:modified xsi:type="dcterms:W3CDTF">2026-03-10T22:10:23Z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0x01010088528B355CCD104D8132BD6D4E654C67</vt:lpwstr>
  </property>
  <property fmtid="{D5CDD505-2E9C-101B-9397-08002B2CF9AE}" pid="3" name="MediaServiceImageTags">
    <vt:lpwstr/>
  </property>
</Properties>
</file>
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l-my.sharepoint.com/personal/ranjan_dutta_intel_com/Documents/Documents/Work/TECH DEBT 2025/Aug 2025/"/>
    </mc:Choice>
  </mc:AlternateContent>
  <xr:revisionPtr revIDLastSave="8" documentId="11_C08F72D5413A257C4AF167B46A796725D76CD2AB" xr6:coauthVersionLast="47" xr6:coauthVersionMax="47" xr10:uidLastSave="{26F916FA-1B6B-42CC-82F2-CB586A780F3C}"/>
  <bookViews>
    <workbookView xWindow="-108" yWindow="-108" windowWidth="23256" windowHeight="13896" xr2:uid="{00000000-000D-0000-FFFF-FFFF00000000}"/>
  </bookViews>
  <sheets>
    <sheet name="Overall Summary" sheetId="1" r:id="rId1"/>
    <sheet name="Audio and Codecs" sheetId="2" r:id="rId2"/>
    <sheet name="Direct Rendering Manager" sheetId="3" r:id="rId3"/>
    <sheet name="Error Detection And Correction" sheetId="4" r:id="rId4"/>
    <sheet name="IAA" sheetId="5" r:id="rId5"/>
    <sheet name="Low power subsystem (SPI, I2C)" sheetId="6" r:id="rId6"/>
    <sheet name="NMI" sheetId="7" r:id="rId7"/>
    <sheet name="Perf" sheetId="8" r:id="rId8"/>
    <sheet name="Power Management Core" sheetId="9" r:id="rId9"/>
    <sheet name="SRIOV" sheetId="10" r:id="rId10"/>
    <sheet name="Security" sheetId="11" r:id="rId11"/>
    <sheet name="Thermal Management" sheetId="12" r:id="rId12"/>
    <sheet name="Thunderbolt" sheetId="13" r:id="rId13"/>
    <sheet name="Versatile Processing Unit" sheetId="14" r:id="rId14"/>
    <sheet name="Feature Version Summary" sheetId="15" r:id="rId15"/>
    <sheet name="ARL-H Summary" sheetId="16" r:id="rId16"/>
    <sheet name="ARL-S Summary" sheetId="17" r:id="rId17"/>
    <sheet name="BMG-NX2 Summary" sheetId="18" r:id="rId18"/>
    <sheet name="NVL Summary" sheetId="19" r:id="rId19"/>
    <sheet name="PTL Summary" sheetId="20" r:id="rId20"/>
    <sheet name="PTL-H Summary" sheetId="21" r:id="rId21"/>
    <sheet name="PTL-U Summary" sheetId="22" r:id="rId22"/>
    <sheet name="WCL Summary" sheetId="23" r:id="rId23"/>
    <sheet name="X86-COMMON Summary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2" i="1" l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B22" i="1"/>
  <c r="F8" i="24"/>
  <c r="E8" i="24"/>
  <c r="D8" i="24"/>
  <c r="B8" i="24"/>
  <c r="F13" i="23"/>
  <c r="E13" i="23"/>
  <c r="D13" i="23"/>
  <c r="B13" i="23"/>
  <c r="F5" i="22"/>
  <c r="E5" i="22"/>
  <c r="D5" i="22"/>
  <c r="B5" i="22"/>
  <c r="F5" i="21"/>
  <c r="E5" i="21"/>
  <c r="D5" i="21"/>
  <c r="B5" i="21"/>
  <c r="F11" i="20"/>
  <c r="E11" i="20"/>
  <c r="D11" i="20"/>
  <c r="B11" i="20"/>
  <c r="F8" i="19"/>
  <c r="E8" i="19"/>
  <c r="D8" i="19"/>
  <c r="B8" i="19"/>
  <c r="F5" i="18"/>
  <c r="E5" i="18"/>
  <c r="D5" i="18"/>
  <c r="B5" i="18"/>
  <c r="F6" i="17"/>
  <c r="E6" i="17"/>
  <c r="D6" i="17"/>
  <c r="B6" i="17"/>
  <c r="F6" i="16"/>
  <c r="E6" i="16"/>
  <c r="D6" i="16"/>
  <c r="B6" i="16"/>
  <c r="D20" i="15"/>
  <c r="C20" i="15"/>
</calcChain>
</file>

<file path=xl/sharedStrings.xml><?xml version="1.0" encoding="utf-8"?>
<sst xmlns="http://schemas.openxmlformats.org/spreadsheetml/2006/main" count="2010" uniqueCount="584">
  <si>
    <t>Domain</t>
  </si>
  <si>
    <t>Domain Name</t>
  </si>
  <si>
    <t>Patch Count</t>
  </si>
  <si>
    <t>Feature</t>
  </si>
  <si>
    <t>Feature Name</t>
  </si>
  <si>
    <t>No-upstream</t>
  </si>
  <si>
    <t>mainline-tracking</t>
  </si>
  <si>
    <t>ARL-H</t>
  </si>
  <si>
    <t>Upstreamed</t>
  </si>
  <si>
    <t>ARL-S</t>
  </si>
  <si>
    <t>BMG-NX2</t>
  </si>
  <si>
    <t>NVL</t>
  </si>
  <si>
    <t>PTL</t>
  </si>
  <si>
    <t>PTL-H</t>
  </si>
  <si>
    <t>PTL-U</t>
  </si>
  <si>
    <t>WCL</t>
  </si>
  <si>
    <t>X86-COMMON</t>
  </si>
  <si>
    <t>Comments</t>
  </si>
  <si>
    <t>Upstream Plan</t>
  </si>
  <si>
    <t>Launchpad Ticket</t>
  </si>
  <si>
    <t>Thermal Management</t>
  </si>
  <si>
    <t>Error Detection And Correction</t>
  </si>
  <si>
    <t>Low power subsystem (SPI, I2C)</t>
  </si>
  <si>
    <t>Thunderbolt</t>
  </si>
  <si>
    <t>NMI</t>
  </si>
  <si>
    <t>Perf</t>
  </si>
  <si>
    <t>Power Management Core</t>
  </si>
  <si>
    <t>Security</t>
  </si>
  <si>
    <t>SRIOV</t>
  </si>
  <si>
    <t>Versatile Processing Unit</t>
  </si>
  <si>
    <t>Direct Rendering Manager</t>
  </si>
  <si>
    <t>Audio and Codecs</t>
  </si>
  <si>
    <t>IAA</t>
  </si>
  <si>
    <t>All Total</t>
  </si>
  <si>
    <t>PMC_Core,Thermal Management</t>
  </si>
  <si>
    <t>EDAC</t>
  </si>
  <si>
    <t>USB,I2C</t>
  </si>
  <si>
    <t>NMI source</t>
  </si>
  <si>
    <t>PMC_Core</t>
  </si>
  <si>
    <t>ISSE</t>
  </si>
  <si>
    <t>MEI</t>
  </si>
  <si>
    <t>MEI:GSC</t>
  </si>
  <si>
    <t>VPU</t>
  </si>
  <si>
    <t>DRM</t>
  </si>
  <si>
    <t>SOF</t>
  </si>
  <si>
    <t>https://jira.devtools.intel.com/browse/PKT-18741</t>
  </si>
  <si>
    <t>https://jira.devtools.intel.com/browse/PKT-18743</t>
  </si>
  <si>
    <t>https://jira.devtools.intel.com/browse/PKT-18744</t>
  </si>
  <si>
    <t>https://jira.devtools.intel.com/browse/PKT-18735</t>
  </si>
  <si>
    <t>https://jira.devtools.intel.com/browse/PKT-18737</t>
  </si>
  <si>
    <t>https://jira.devtools.intel.com/browse/PKT-18738</t>
  </si>
  <si>
    <t>https://jira.devtools.intel.com/browse/PKT-18739</t>
  </si>
  <si>
    <t>Patch</t>
  </si>
  <si>
    <t>Create Date</t>
  </si>
  <si>
    <t>Bullpen</t>
  </si>
  <si>
    <t>Classification</t>
  </si>
  <si>
    <t>Platform</t>
  </si>
  <si>
    <t>Commit</t>
  </si>
  <si>
    <t>Upstate</t>
  </si>
  <si>
    <t>Upstream Commit</t>
  </si>
  <si>
    <t>Upstream Kernel Version</t>
  </si>
  <si>
    <t>Upstream Status By</t>
  </si>
  <si>
    <t>Upstream Status Reason</t>
  </si>
  <si>
    <t>ASoC:Enablement Of No-Codec Audio HDMI-IN for PTL.</t>
  </si>
  <si>
    <t>ASoC: Intel: sof_rt5682: Add HDMI-In capture with rt5682 support for PTL.</t>
  </si>
  <si>
    <t>ASoC: Intel: soc-acpi: Add entry for HDMI_In capture support in PTL match table</t>
  </si>
  <si>
    <t>ASoC: Intel: soc-acpi: Add entry for sof_es8336 in PTL match table.</t>
  </si>
  <si>
    <t>2025-07-29 07:11:00</t>
  </si>
  <si>
    <t>2025-07-14 12:25:45</t>
  </si>
  <si>
    <t>2025-07-08 09:58:13</t>
  </si>
  <si>
    <t>Public</t>
  </si>
  <si>
    <t>Y</t>
  </si>
  <si>
    <t>54ae2c69fee9e4eba281242113fe5bdcbbab9c9f</t>
  </si>
  <si>
    <t>03666b35d482ada12402ebf1c64adf2cdb275bdd</t>
  </si>
  <si>
    <t>34facedbe4a379b0e7933a96057d50d3667ef1c8</t>
  </si>
  <si>
    <t>7876ef3673443989c84d70d9c84b3283c62f95cb</t>
  </si>
  <si>
    <t>intel review</t>
  </si>
  <si>
    <t>upstreamed</t>
  </si>
  <si>
    <t>03aa2ed9e187e42f25b3871b691d535fc19156c4</t>
  </si>
  <si>
    <t>fb00ab1f39369e49d25c74f0d41e4c1ec2f12576</t>
  </si>
  <si>
    <t>2813f535b5847771d9e56df678c523a7e64f860e</t>
  </si>
  <si>
    <t>v6.17-rc1</t>
  </si>
  <si>
    <t>drm/i915/mtl: Add C10 table for HDMI Clock 25175</t>
  </si>
  <si>
    <t>drm/i915/gt: fix empty workaround list access issue</t>
  </si>
  <si>
    <t>drm/i915/pf: Skip VF save/restore on S2idle/S3/S4 if it can reinitialize itself</t>
  </si>
  <si>
    <t>drm/i915/guc: Define MAX_DWORDS for CTB HXG Message</t>
  </si>
  <si>
    <t>drm/i915/pf: Add helpers for saving/loading GGTT state</t>
  </si>
  <si>
    <t>drm/i915/guc: Upgrade GuC fw version to 70.29.2</t>
  </si>
  <si>
    <t>drm/i915: Bypass gem_set_tiling and gem_get_tiling</t>
  </si>
  <si>
    <t>drm/i915/pf: Use GPU to set PTE owner</t>
  </si>
  <si>
    <t>drm/i915/guc: Upgrade GuC fw version to 70.20.0</t>
  </si>
  <si>
    <t>drm/i915/iov: Expose early runtime registers for MTL</t>
  </si>
  <si>
    <t>drm/i915: call taint_for_CI on FLR failure</t>
  </si>
  <si>
    <t>drm/i915/huc: load HuC via non-POR GSC engine flow</t>
  </si>
  <si>
    <t>i915: Update GUC to v70.44.1 for i915 platforms</t>
  </si>
  <si>
    <t>drm/i915/pf: Handle VF pause complete notification</t>
  </si>
  <si>
    <t>drm/i915/pf: Use GPU to set PTE owner on platforms with Media gen13</t>
  </si>
  <si>
    <t>drm/xe: force wake the root gt before vram access</t>
  </si>
  <si>
    <t>drm/xe/pf: forcewake media engines on root gt</t>
  </si>
  <si>
    <t>Update PTL GuC version major naming and HuC version</t>
  </si>
  <si>
    <t>drm/xe/bmg: Enable the SRIOV support</t>
  </si>
  <si>
    <t>drm/xe/pf: Adding media early register to root gt</t>
  </si>
  <si>
    <t>drm/i915/xe3lpd: Extend DMC load path for display</t>
  </si>
  <si>
    <t>drm/i915/bw: pass struct dram_info pointer around</t>
  </si>
  <si>
    <t>Revert "drm/xe/sched: stop re-submitting signalled jobsi" version 3</t>
  </si>
  <si>
    <t>drm/i915/xe3lpd: Add support for display version 30.02</t>
  </si>
  <si>
    <t>drm/xe/sched: stop re-submitting signalled jobs</t>
  </si>
  <si>
    <t>drm/i915: Set max cdclk for display 30.02</t>
  </si>
  <si>
    <t>drm/i915/xe3lpd: Extend WA 16023981245 for display 30.02</t>
  </si>
  <si>
    <t>drm/xe/xe3: Add support for graphics IP version 30.03</t>
  </si>
  <si>
    <t>drm/xe: Add Wildcat Lake device IDs to PTL list</t>
  </si>
  <si>
    <t>drm/i915/wcl: C10 phy connected to port A and B</t>
  </si>
  <si>
    <t>drm/i915/xe3lpd: Update bandwidth parameters for display version 30.02</t>
  </si>
  <si>
    <t>drm/xe/xe3: Add support for media IP version 30.02</t>
  </si>
  <si>
    <t>2023-07-12 16:46:17</t>
  </si>
  <si>
    <t>2023-06-16 09:31:26</t>
  </si>
  <si>
    <t>2024-01-15 08:21:18</t>
  </si>
  <si>
    <t>2023-11-22 04:41:23</t>
  </si>
  <si>
    <t>2023-10-10 11:02:46</t>
  </si>
  <si>
    <t>2024-08-19 03:15:51</t>
  </si>
  <si>
    <t>2024-06-11 01:54:36</t>
  </si>
  <si>
    <t>2024-02-29 08:35:19</t>
  </si>
  <si>
    <t>2024-03-27 07:23:06</t>
  </si>
  <si>
    <t>2025-04-18 13:41:23</t>
  </si>
  <si>
    <t>2025-07-29 08:05:09</t>
  </si>
  <si>
    <t>2025-07-21 06:38:03</t>
  </si>
  <si>
    <t>2025-07-31 12:12:56</t>
  </si>
  <si>
    <t>2025-07-22 06:48:30</t>
  </si>
  <si>
    <t>2025-07-29 08:31:02</t>
  </si>
  <si>
    <t>2025-05-07 03:08:09</t>
  </si>
  <si>
    <t>2025-05-27 07:30:26</t>
  </si>
  <si>
    <t>03d9857f75191ce4c07c9d2d0b825e07685657cd</t>
  </si>
  <si>
    <t>04c69c70b8430b62501441a50baf6cdc59f35b98</t>
  </si>
  <si>
    <t>08d7f339977b7d5a7e33c4f24ebd1cc21f274b9f</t>
  </si>
  <si>
    <t>0f3f602edb9fd4f26e93ee3487f9db540fbe010a</t>
  </si>
  <si>
    <t>1fc8ada2953319fa8bd28bd95266e62b20ed96d6</t>
  </si>
  <si>
    <t>235f14db9f9d190ebfdc41b31c46fcfa0976f8df</t>
  </si>
  <si>
    <t>267430e1cd963191bba903942319997927e624a6</t>
  </si>
  <si>
    <t>30f0da16bb514cdf5a6ff5a9d303a1b6cfe3fb6e</t>
  </si>
  <si>
    <t>3a47e5aad3cbd8d714a7ddd255f6de8f6b4afd19</t>
  </si>
  <si>
    <t>678f4546c6e503509a7c212057fd8463b0ae66cd</t>
  </si>
  <si>
    <t>831498afe7d53451f2ae895e6da2760f710169d6</t>
  </si>
  <si>
    <t>b8b8f38079ef67610af84f738c9c24f33dd0e077</t>
  </si>
  <si>
    <t>f2afb5158f634821b5594e8212978bbf60caf3d3</t>
  </si>
  <si>
    <t>f443aa6afc0802d62c1e18f0491267d183875f50</t>
  </si>
  <si>
    <t>fbcb189239607ab635805296881c71a3e1a82191</t>
  </si>
  <si>
    <t>1877fcd185cf34f5adf7936b8bf02a45dc5588c9</t>
  </si>
  <si>
    <t>159e5aa6c18bed90ffc02c7a0e5192722787129a</t>
  </si>
  <si>
    <t>741f32d7c0ea6673571bfb9d673753c9b25c1882</t>
  </si>
  <si>
    <t>a6e8aa6fdc192b943e7e53317764449c72beda51</t>
  </si>
  <si>
    <t>d32ff6c67f2a1d2e4d63c0f75627e0c6ab478690</t>
  </si>
  <si>
    <t>0d129c604c5b36e284c234916eede5c256e58505</t>
  </si>
  <si>
    <t>61bc6e034ea70951f9072e256c5f93c8b44f37d6</t>
  </si>
  <si>
    <t>6ee83197280da184099e1e73f89bb96e02e626b0</t>
  </si>
  <si>
    <t>746cba92e18d1aa514ec0afaecd50bec3be917d9</t>
  </si>
  <si>
    <t>78213ef4f673701375a9e05d93e064cbf1d1a091</t>
  </si>
  <si>
    <t>7a3660b5795da52808807c5af228a3f7e1104154</t>
  </si>
  <si>
    <t>a120593c42d5be6fd43207e06da71d8d80e51a8e</t>
  </si>
  <si>
    <t>c493476c8c4409559d26c6dd354c2688abf38893</t>
  </si>
  <si>
    <t>c58fa68af698c47acb6876f6af33e5e6e7cf8eac</t>
  </si>
  <si>
    <t>d407df16f0a8782692a29dc9815537eeb58a282e</t>
  </si>
  <si>
    <t>dee5e75d2bb6ea10d2bf1aff2c6cf7490c2c5c48</t>
  </si>
  <si>
    <t>df86e2ecbd26ffaff338b63353fe78672fcf68ef</t>
  </si>
  <si>
    <t>3d77a3280da9ef96e2f8281e43b2cec18f142160</t>
  </si>
  <si>
    <t>9ab671afacc14449500d9da1633a8389a2a18b83</t>
  </si>
  <si>
    <t>f8e1c3e07db1805b585df65bd747fd98edbf4ca3</t>
  </si>
  <si>
    <t>0ee54d5cacc0276ec631ac149825a24b59c51c38</t>
  </si>
  <si>
    <t>0085d49d30124a3b0cfd04357d22588815c5563b</t>
  </si>
  <si>
    <t>8383bdca54792fdae8221a92e6ac0b1f26712e39</t>
  </si>
  <si>
    <t>b1c37a0030b27a4b5d159d87461f6a7d453fd067</t>
  </si>
  <si>
    <t>3c0f211bc8fc0d0a0b4c29c471b57ffff48eec60</t>
  </si>
  <si>
    <t>9d10de78a37f4f397de7662faa0c8ab54b6171c9</t>
  </si>
  <si>
    <t>bd031cd19f5c5597716ccaa7e6e70e65721e5ff3</t>
  </si>
  <si>
    <t>c96e0df4e9f5f0d6690994bb01bcfbd01af0e1f7</t>
  </si>
  <si>
    <t>v6.16-rc1</t>
  </si>
  <si>
    <t>EDAC/igen6: Add Intel Wildcat Lake SoCs support</t>
  </si>
  <si>
    <t>EDAC/igen6: Add more Intel Panther Lake-H SoCs support</t>
  </si>
  <si>
    <t>EDAC/i10nm: Add driver decoder for Granite Rapids server</t>
  </si>
  <si>
    <t>x86/mce: Add MCACOD code for generic I/O error</t>
  </si>
  <si>
    <t>EDAC/skx_common: Prepare for skx_get_edac_list()</t>
  </si>
  <si>
    <t>EDAC/{skx_common,skx,i10nm}: Make skx_register_mci() independent of pci_dev</t>
  </si>
  <si>
    <t>EDAC/ie31200: Enable support for Core i5-14600 and i7-14700</t>
  </si>
  <si>
    <t>EDAC/i10nm: Fix some missing error reports on Granite Rapids</t>
  </si>
  <si>
    <t>EDAC/igen6: Add registration APIs for In-Band ECC error notification</t>
  </si>
  <si>
    <t>EDAC/ie31200: Add Intel Bartlett Lake-S SoCs support</t>
  </si>
  <si>
    <t>EDAC/ieh: Add I/O device EDAC driver for Intel CPUs with IEH</t>
  </si>
  <si>
    <t>EDAC/ieh: Add I/O device EDAC support for Intel Tiger Lake-H SoC</t>
  </si>
  <si>
    <t>EDAC/skx_common: Prepare for skx_set_hi_lo()</t>
  </si>
  <si>
    <t>EDAC/ie31200: Document which CPUs correspond to each Raptor Lake-S device ID</t>
  </si>
  <si>
    <t>2025-07-09 03:58:19</t>
  </si>
  <si>
    <t>2024-08-14 10:04:13</t>
  </si>
  <si>
    <t>2023-03-22 00:09:44</t>
  </si>
  <si>
    <t>2024-10-16 05:45:45</t>
  </si>
  <si>
    <t>2025-02-17 08:47:28</t>
  </si>
  <si>
    <t>2025-06-25 05:23:22</t>
  </si>
  <si>
    <t>2023-07-26 10:59:21</t>
  </si>
  <si>
    <t>2024-06-12 03:17:03</t>
  </si>
  <si>
    <t>527981db830b962c623e4ad0928721b75f10451e</t>
  </si>
  <si>
    <t>e057849b092adcafd7be9f9218fd86aab092ec28</t>
  </si>
  <si>
    <t>0be0824cab6718af3a74e801f8c371e289ab90cb</t>
  </si>
  <si>
    <t>2cb1b9d80d210ac8b3dbc214f2f840753a31e711</t>
  </si>
  <si>
    <t>2d84be96941407a6864d98d1a66fcb4f1fe558a1</t>
  </si>
  <si>
    <t>4d6bd22a27f1b6b5ffebe9a0382e848eee20334d</t>
  </si>
  <si>
    <t>5ea8686a38301b7265049fa527ab3beb25c36fd7</t>
  </si>
  <si>
    <t>7a04c34d5309e714fffc43450e5f4034c3daa705</t>
  </si>
  <si>
    <t>85514d79d3705f730f587cbd971f53d7737aa904</t>
  </si>
  <si>
    <t>a58dbe156eabb1b855bb8e77b608bfb0accaf46a</t>
  </si>
  <si>
    <t>a7e3bf1f128a74e9a7ba2a34411ab4e5609ef117</t>
  </si>
  <si>
    <t>b1e47f21f4b4672569aa181667d41f9547e73f40</t>
  </si>
  <si>
    <t>b6022f5ad6433b1ebd3188a784b1e37d2654aff1</t>
  </si>
  <si>
    <t>f9228367d5ff1901d9c8b821c11a540eb0dd8bef</t>
  </si>
  <si>
    <t>773d8bb5ba7f64ee708caecb8deb0930bc1e1cf7</t>
  </si>
  <si>
    <t>493f9c930e5ff72b3508755b45488d1ae2c9650e</t>
  </si>
  <si>
    <t>1de70efcc8920020cdbc94dedb432a6204ae3319</t>
  </si>
  <si>
    <t>qingdong.shi@intel.com</t>
  </si>
  <si>
    <t>confirmed with COE</t>
  </si>
  <si>
    <t>dmaengine: idxd: Add a new IAA device ID for Wildcat Lake family platforms</t>
  </si>
  <si>
    <t>2025-06-11 06:41:26</t>
  </si>
  <si>
    <t>b3ba67c3a04b73200acbe6bf24185a62565e249f</t>
  </si>
  <si>
    <t>lkml review</t>
  </si>
  <si>
    <t>usb: dwc3: pci: add support for the Intel Wildcat Lake</t>
  </si>
  <si>
    <t>2024-10-17 05:03:38</t>
  </si>
  <si>
    <t>630eb73f3940476015b7a8aab8633692fcbdcf79</t>
  </si>
  <si>
    <t>USB I2C</t>
  </si>
  <si>
    <t>x86/nmi: Add support to handle NMIs with source information</t>
  </si>
  <si>
    <t>x86/nmi: Extend the registration interface to include the NMI-source vector</t>
  </si>
  <si>
    <t>KVM: x86: Advertise support for LKGS</t>
  </si>
  <si>
    <t>x86/nmi: Assign and register NMI-source vectors</t>
  </si>
  <si>
    <t>KVM: VMX: Virtualize FRED nested exception tracking</t>
  </si>
  <si>
    <t>KVM: nVMX: Add support for the secondary VM exit controls</t>
  </si>
  <si>
    <t>x86/nmi: Print source information with the unknown NMI console message</t>
  </si>
  <si>
    <t>KVM: selftests: Add the 2nd VM exit controls MSR to the hidden VMX MSR list</t>
  </si>
  <si>
    <t>x86/nmi: Include source information in NMI handler tracepoint</t>
  </si>
  <si>
    <t>EDAC/ieh: Fix a compile error</t>
  </si>
  <si>
    <t>KVM: VMX: Add support for FRED context save/restore</t>
  </si>
  <si>
    <t>KVM: VMX: Set FRED MSR interception</t>
  </si>
  <si>
    <t>x86/nmi: Enable NMI-source for IPIs delivered as NMIs</t>
  </si>
  <si>
    <t>KVM: selftests: Add fred exception tests</t>
  </si>
  <si>
    <t>KVM: VMX: Virtualize FRED event_data</t>
  </si>
  <si>
    <t>KVM: nVMX: Add FRED VMCS fields to nested VMX context management</t>
  </si>
  <si>
    <t>x86/fred: Allow variable-sized event frame</t>
  </si>
  <si>
    <t>x86/cea: Export an API to get per CPU exception stacks for KVM to use</t>
  </si>
  <si>
    <t>KVM: x86: Add a helper to detect if FRED is enabled for a vCPU</t>
  </si>
  <si>
    <t>x86/fred: Provide separate IRQ vs. NMI wrappers for entry from KVM</t>
  </si>
  <si>
    <t>KVM: x86: Advise NMI Source to user space</t>
  </si>
  <si>
    <t>KVM: selftests: Add a new VM guest mode to run user level code</t>
  </si>
  <si>
    <t>KVM: VMX: Implement NMI source injection</t>
  </si>
  <si>
    <t>x86/nmi: Prepare for the new NMI-source vector encoding</t>
  </si>
  <si>
    <t>KVM: x86: Save/restore the nested flag of an exception</t>
  </si>
  <si>
    <t>x86: Remove the padding space at top of the init stack</t>
  </si>
  <si>
    <t>KVM: selftests: Run debug_regs test with FRED enabled</t>
  </si>
  <si>
    <t>KVM: nVMX: Add VMCS FRED states checking</t>
  </si>
  <si>
    <t>KVM: VMX: Add support for the secondary VM exit controls</t>
  </si>
  <si>
    <t>KVM: x86: Advertise support for FRED</t>
  </si>
  <si>
    <t>KVM: VMX: Initialize VMCS FRED fields</t>
  </si>
  <si>
    <t>KVM: x86: Mark CR4.FRED as not reserved</t>
  </si>
  <si>
    <t>x86/fred: Pass event data to the NMI entry point from KVM</t>
  </si>
  <si>
    <t>KVM: VMX: Disable FRED if FRED consistency checks fail</t>
  </si>
  <si>
    <t>KVM: nVMX: Allow VMX FRED controls</t>
  </si>
  <si>
    <t>KVM: VMX: Add host MSR read/write helpers to consolidate preemption handling</t>
  </si>
  <si>
    <t>x86/cpufeatures: Add the CPUID feature bit for NMI-source reporting</t>
  </si>
  <si>
    <t>KVM: VMX: Save/restore guest FRED RSP0</t>
  </si>
  <si>
    <t>KVM: VMX: Initialize VM entry/exit FRED controls in vmcs_config</t>
  </si>
  <si>
    <t>Documentation: kvm: Fix a section number typo</t>
  </si>
  <si>
    <t>perf/x86: Enable NMI-source reporting for perfmon</t>
  </si>
  <si>
    <t>x86/fred: Enable FRED by default</t>
  </si>
  <si>
    <t>Add README for Intel Next</t>
  </si>
  <si>
    <t>KVM: VMX: Dump FRED context in dump_vmcs()</t>
  </si>
  <si>
    <t>KVM: nVMX: Add a prerequisite to SHADOW_FIELD_R[OW] macros</t>
  </si>
  <si>
    <t>2025-07-15 08:06:10</t>
  </si>
  <si>
    <t>2025-04-23 03:55:52</t>
  </si>
  <si>
    <t>2025-04-22 06:19:18</t>
  </si>
  <si>
    <t>2024-06-13 07:24:01</t>
  </si>
  <si>
    <t>2025-06-17 08:00:39</t>
  </si>
  <si>
    <t>2024-11-20 06:32:57</t>
  </si>
  <si>
    <t>2025-03-17 08:15:40</t>
  </si>
  <si>
    <t>2024-07-16 10:04:49</t>
  </si>
  <si>
    <t>2025-04-23 06:46:47</t>
  </si>
  <si>
    <t>015dcc1ef6df81f90db7f35c15fe865172098cbd</t>
  </si>
  <si>
    <t>16c99c79c5c2f6c5e021d28fd6e0b02ae0050331</t>
  </si>
  <si>
    <t>17e2dbfc20282f50ba76fef65bda7db6bedd58b9</t>
  </si>
  <si>
    <t>19757a187d09a010fd13ca13a10c079ee81169d6</t>
  </si>
  <si>
    <t>19f3bf934af3f6859d8739fa55194d2a268480c8</t>
  </si>
  <si>
    <t>2170504d83a8df97c3300fcbf5ce318f0b976bb4</t>
  </si>
  <si>
    <t>2236f83db13dfae97e56bea9ca5f317db1005759</t>
  </si>
  <si>
    <t>289ceb7e081475a153cbcf78515ff7b8251b9b9d</t>
  </si>
  <si>
    <t>28ce785dc0544278c87498ea99e461dad9c4fb87</t>
  </si>
  <si>
    <t>2b53a17db59c6fb7a1f4315d11d3950f9c0e3c23</t>
  </si>
  <si>
    <t>2e828ccfb14c8746e00990438e3d348d4b6bbf7f</t>
  </si>
  <si>
    <t>347547d1f07738b078adb659a54573fb787d1458</t>
  </si>
  <si>
    <t>34b8027e278ada4935fc04cee9b7e2d5a343ca9b</t>
  </si>
  <si>
    <t>46f9786be3ce02dbf9bfcd1f6fd9243e9fa27e5c</t>
  </si>
  <si>
    <t>519ffa2a0598dc1e0be7a7c7458645c98a485d5a</t>
  </si>
  <si>
    <t>5348842626a14662ea22ecf084d3807e8c606267</t>
  </si>
  <si>
    <t>57aa4273f0909e861e21c6fbf84da8435e753150</t>
  </si>
  <si>
    <t>58bccd3f40e0647d9c1ddd51db900f123263f6eb</t>
  </si>
  <si>
    <t>59d9ee1fa56def2e91d0cfd2db2652ea93a93be2</t>
  </si>
  <si>
    <t>5f21777e710b934a92230686a28898f4b54ee41b</t>
  </si>
  <si>
    <t>603e1deedf9a19f785b924e2d5a3620f5d692dcb</t>
  </si>
  <si>
    <t>61a1e06cee7aa7f29e6ef402de06d7a4c18bf0e7</t>
  </si>
  <si>
    <t>61ba509a661ede35a67e39396c08f9e690d465f7</t>
  </si>
  <si>
    <t>82e0360514f6413d2304f6f80f888604884368b9</t>
  </si>
  <si>
    <t>8490633156eb174b94b45a296ea9a42ac6451386</t>
  </si>
  <si>
    <t>8565f7fae181e85a6626d3e9c70391928e66b619</t>
  </si>
  <si>
    <t>8abac9a514e581cd3ad9d2661e21db46496674a9</t>
  </si>
  <si>
    <t>8c4b7eba47dd0276b770716c877196d357cb1395</t>
  </si>
  <si>
    <t>8ec06e96e380cd171342a1223585e965c175ce9b</t>
  </si>
  <si>
    <t>9cbf7f209039f1410ba85af42abf0c503af00e65</t>
  </si>
  <si>
    <t>9f7215a479303c80f516b498c59c506da0ec6037</t>
  </si>
  <si>
    <t>a3c9abd19953e85db0bdf49f055e5f7978df5119</t>
  </si>
  <si>
    <t>b46f6ad612f93ae7caf0636883b6835bce815a5f</t>
  </si>
  <si>
    <t>c26dd7e5703d67fdc3b9c87a1a100f3ae0830dea</t>
  </si>
  <si>
    <t>ca380b3d33ef709e99543fbc90486e9df3e544cf</t>
  </si>
  <si>
    <t>ce053266a42c6dd7f43167f551a2f287a7c26688</t>
  </si>
  <si>
    <t>d2daad1162b7c763eb8bb0ee19e8151b73fdb49a</t>
  </si>
  <si>
    <t>d3a8cca87d6875bdd457fc02dccb9ccc280ee706</t>
  </si>
  <si>
    <t>d97dc3472874004c456514669a98cb3e7294e841</t>
  </si>
  <si>
    <t>df643c7b51e8d79d5b01f3564a751ba8a9cf0a17</t>
  </si>
  <si>
    <t>e0661bf36f2fff6bccd85575736a928130e90a13</t>
  </si>
  <si>
    <t>fb29cc0ca9bd524bf170c300206629f0c9251f97</t>
  </si>
  <si>
    <t>fd2399ada82280e0fd03e6a36e5efb36ee274448</t>
  </si>
  <si>
    <t>ff1c1536e965c1b5f2c1a8f4f48f0387cc382ce5</t>
  </si>
  <si>
    <t>ff38a2ed134e8ac7a78897a24448883205d47641</t>
  </si>
  <si>
    <t>e88cfd50b60602c1084bf989c2503abac5b99fd6</t>
  </si>
  <si>
    <t>perf/x86/intel/ds: Factor out PEBS record processing code to functions</t>
  </si>
  <si>
    <t>perf/x86/intel: Initialize architectural PEBS</t>
  </si>
  <si>
    <t>KVM: x86/pmu: Add perf_capabilities field in struct kvm_host_values{}</t>
  </si>
  <si>
    <t>perf tools: Enhance arch__intr/user_reg_mask() helpers</t>
  </si>
  <si>
    <t>perf/x86/msr: Make SMI and PPERF on by default</t>
  </si>
  <si>
    <t>perf/x86/intel: Add a check for dynamic constraints</t>
  </si>
  <si>
    <t>KVM: x86: Rename vmx_vmentry/vmexit_ctrl() helpers</t>
  </si>
  <si>
    <t>perf/x86: Forbid PMI handler when guest own PMU</t>
  </si>
  <si>
    <t>perf: Support get/put mediated PMU interfaces</t>
  </si>
  <si>
    <t>perf tools/tests: Add vector registers PEBS sampling test</t>
  </si>
  <si>
    <t>KVM: x86/pmu: Correct typo "_COUTNERS" to "_COUNTERS"</t>
  </si>
  <si>
    <t>perf tools: Enhance sample_regs_user/intr to capture more registers</t>
  </si>
  <si>
    <t>perf: Skip pmu_ctx based on event_type</t>
  </si>
  <si>
    <t>perf/x86/intel/uncore: Add iMC freerunning for Panther Lake</t>
  </si>
  <si>
    <t>perf: Add a EVENT_GUEST flag</t>
  </si>
  <si>
    <t>perf/x86/intel: Setup PEBS data configuration and enable legacy groups</t>
  </si>
  <si>
    <t>perf/x86/intel/uncore: Add Panther Lake support</t>
  </si>
  <si>
    <t>perf: Add switch_guest_ctx() interface</t>
  </si>
  <si>
    <t>perf tools: Support to show SSP register</t>
  </si>
  <si>
    <t>x86/irq: Factor out common code for installing kvm irq handler</t>
  </si>
  <si>
    <t>perf: core/x86: Register a new vector for KVM GUEST PMI</t>
  </si>
  <si>
    <t>perf/x86: Remove helper perf_events_lapic_init() from x86_pmu_enable()</t>
  </si>
  <si>
    <t>perf: Clean up perf ctx time</t>
  </si>
  <si>
    <t>perf tools: Support to capture more vector registers (x86/Intel)</t>
  </si>
  <si>
    <t>perf/x86/intel/cstate: Add Clearwater Forrest support</t>
  </si>
  <si>
    <t>perf/x86/intel/uncore: Support MSR portal for discovery tables</t>
  </si>
  <si>
    <t>KVM: x86/pmu: Introduce enable_mediated_pmu global parameter</t>
  </si>
  <si>
    <t>perf/core: Support to capture higher width vector registers</t>
  </si>
  <si>
    <t>perf/x86/core: Plumb mediated PMU capability from x86_pmu to x86_pmu_cap</t>
  </si>
  <si>
    <t>perf/x86/intel: Support arch-PEBS vector registers group capturing</t>
  </si>
  <si>
    <t>perf/x86/intel: Fix IA32_PMC_x_CFG_B MSRs access error</t>
  </si>
  <si>
    <t>perf/x86/intel: Allocate arch-PEBS buffer and initialize PEBS_BASE MSR</t>
  </si>
  <si>
    <t>perf/x86/intel/uncore: Support customized MMIO map size</t>
  </si>
  <si>
    <t>perf/x86: Support switch_guest_ctx interface</t>
  </si>
  <si>
    <t>perf/x86/intel: Support SSP register capturing for arch-PEBS</t>
  </si>
  <si>
    <t>perf/x86/intel: Use early_initcall() to hook bts_init()</t>
  </si>
  <si>
    <t>KVM: x86/pmu: Register KVM_GUEST_PMI_VECTOR handler</t>
  </si>
  <si>
    <t>perf: Add generic exclude_guest support</t>
  </si>
  <si>
    <t>perf/x86/intel: Process arch-PEBS records or record fragments</t>
  </si>
  <si>
    <t>perf/x86/intel: Add counter group support for arch-PEBS</t>
  </si>
  <si>
    <t>perf/x86: Fix typos and inconsistent indents in perf_event header</t>
  </si>
  <si>
    <t>perf/x86/intel: Update dyn_constranit base on PEBS event precise level</t>
  </si>
  <si>
    <t>perf/x86/intel/ds: Factor out PEBS group processing code to functions</t>
  </si>
  <si>
    <t>perf/x86/core: Do not set bit width for unavailable counters</t>
  </si>
  <si>
    <t>2025-05-30 05:18:51</t>
  </si>
  <si>
    <t>2025-07-18 10:06:52</t>
  </si>
  <si>
    <t>2025-04-28 10:40:00</t>
  </si>
  <si>
    <t>2025-02-11 05:59:48</t>
  </si>
  <si>
    <t>2025-05-28 02:33:54</t>
  </si>
  <si>
    <t>2025-04-23 10:47:51</t>
  </si>
  <si>
    <t>2024-05-29 07:55:09</t>
  </si>
  <si>
    <t>2024-06-19 04:04:15</t>
  </si>
  <si>
    <t>2025-07-02 04:00:52</t>
  </si>
  <si>
    <t>2023-12-05 10:31:21</t>
  </si>
  <si>
    <t>020075e7bab14f12f4ef700204f120df56413cd2</t>
  </si>
  <si>
    <t>08546affdcc78d91e6a8634948028ebe570b2783</t>
  </si>
  <si>
    <t>0b44b46508450a6fd93138885e6e6e63c29840fc</t>
  </si>
  <si>
    <t>11269e0938c9f028f2f3cc10991b77082a6cc52f</t>
  </si>
  <si>
    <t>16c9f18d07f6fd8e168fba601a0bf1c6f4c85551</t>
  </si>
  <si>
    <t>18eb9c5ab32ebe092a8209218421b9b376fd565c</t>
  </si>
  <si>
    <t>2188ffc9d373b223f7d0bcf8aba57e37608d2e69</t>
  </si>
  <si>
    <t>261171337f2afbb0abc5773cafa8d0d93d83469c</t>
  </si>
  <si>
    <t>2b1408a6e310edd06d1cd4c43ef1b971a68a343c</t>
  </si>
  <si>
    <t>2d118abae5c46819d3244939a19fabd533b16451</t>
  </si>
  <si>
    <t>36eec604518f898c3e2636b734d3b255346384e0</t>
  </si>
  <si>
    <t>41af812eb9466b79be2b655aa233502d04618de7</t>
  </si>
  <si>
    <t>41fe0b305674c224336dd725199997d75f29bf8c</t>
  </si>
  <si>
    <t>48e39b21aeca178a217804da4d8779e2bd569b89</t>
  </si>
  <si>
    <t>4a8219c26050a36267e0fd94cd7352efe1dcaf9a</t>
  </si>
  <si>
    <t>4fc3b464e8aabab4eb411a803e54f543a7bc4f4e</t>
  </si>
  <si>
    <t>62f25ac79045ecb6519f2e925e5408ef5f812be3</t>
  </si>
  <si>
    <t>63c3b844bab4f6994ab9dfa3fbc694923976133f</t>
  </si>
  <si>
    <t>6c6b5110a7d08471976364af962756e2c112595e</t>
  </si>
  <si>
    <t>6d7fdce89d860db22e70c53ff3ed33febba656ea</t>
  </si>
  <si>
    <t>70ff8c5e292715e5262b544be2dd3c84911040e1</t>
  </si>
  <si>
    <t>7ff749463744e7ba1786bfba5b285b18c793f026</t>
  </si>
  <si>
    <t>866e2d4e3774cf32ceba3b370a1222f93ab18af9</t>
  </si>
  <si>
    <t>8ae2d2c28b48a7080434563c81e49fd556d08a77</t>
  </si>
  <si>
    <t>8df877e7c9bdc0e3d052f43d035e61a89948c5ea</t>
  </si>
  <si>
    <t>92342fbb93a2da90a4f149e325c505e9a0449e08</t>
  </si>
  <si>
    <t>9d358dd75139c60b27a3332e289a9bbc52c72139</t>
  </si>
  <si>
    <t>a2552acaf04b1381b6c498ac7ab26754f6b60b43</t>
  </si>
  <si>
    <t>b3de8c289ac009ec354f7e0fd379b8c7f373d4a0</t>
  </si>
  <si>
    <t>b64d3d29e644de380f99692e92e5a414b43cc545</t>
  </si>
  <si>
    <t>bcd90219928d3f1ffb525645a129e29fa79ebc3f</t>
  </si>
  <si>
    <t>c33ce5d17cf8503f11580518cd25596c62a81971</t>
  </si>
  <si>
    <t>cf45a636bc12ae3f32e311da1424e479df5b8a21</t>
  </si>
  <si>
    <t>d13d6643592d4dece2f6e57bfc05688dfbd50495</t>
  </si>
  <si>
    <t>d6e4f7cf6d9f5f027be7f5353b8c09321536ad22</t>
  </si>
  <si>
    <t>da34386b23010cdd8a257d4dfa5eb44ce8c15472</t>
  </si>
  <si>
    <t>e0a053d936d6fee9c210b4ec461d2d72625e4c24</t>
  </si>
  <si>
    <t>e84d6d3be6b8eff0816d223f8a9acad5af1cbbb2</t>
  </si>
  <si>
    <t>ea0388068958c3cc27cf70fc30cbf81aee799afd</t>
  </si>
  <si>
    <t>ee85c8456027b96f7c553467b8bea9421cbaaf4f</t>
  </si>
  <si>
    <t>efe9a5c58aecd1fe4863f1345046f48f3ecc021e</t>
  </si>
  <si>
    <t>f2abd4a0948756e18c5a68b971f95b00e179b01a</t>
  </si>
  <si>
    <t>fd71a52d9a0f488c80c6280a0df3fba6e27f86ac</t>
  </si>
  <si>
    <t>ffc93e585a84be4dbd23b5399c126a0ffa9de392</t>
  </si>
  <si>
    <t>829f5a6308ce11c3edaa31498a825f8c41b9e9aa</t>
  </si>
  <si>
    <t>64ad6d6ede0cff2997e707dcb051bd4987508c27</t>
  </si>
  <si>
    <t>cf002dafedd06241175e4dbce39ba90a4b75822c</t>
  </si>
  <si>
    <t>fca24bf2b6b619770d7f1222c0284791d7766239</t>
  </si>
  <si>
    <t>platform/x86:intel/pmc: Improve function to show substate header</t>
  </si>
  <si>
    <t>platform/x86:intel/pmc: Move telemetry endpoint register handling</t>
  </si>
  <si>
    <t>platform/x86:intel/pmc: Enable SSRAM support for Panther Lake</t>
  </si>
  <si>
    <t>platform/x86:intel/pmc: Enable SSRAM support for Lunar Lake</t>
  </si>
  <si>
    <t>platform/x86:intel/pmc: Show substate requirement for S0ix blockers</t>
  </si>
  <si>
    <t>2025-07-28 09:39:36</t>
  </si>
  <si>
    <t>1c6c4de7775590e5a862c950f755d25cbeab1785</t>
  </si>
  <si>
    <t>aff4c1b9e9e85f447631a112211d31167aa8146f</t>
  </si>
  <si>
    <t>c34e17515f0cd795f3e691bd5890d8842c0ff59e</t>
  </si>
  <si>
    <t>d58a59f38f7ae9063f6f1111ec839ddea9e6f8fe</t>
  </si>
  <si>
    <t>e222def8991a4831a2760a6923fda102998868c0</t>
  </si>
  <si>
    <t>drm/i915/pf: Allow to save/restore GuC VF state</t>
  </si>
  <si>
    <t>drm/i915: enable CCS on DG1 and TGL for testing</t>
  </si>
  <si>
    <t>drm/i915: force VF using v70 GuC API</t>
  </si>
  <si>
    <t>drm/i915: SR-IOV Save-Restore Feature support</t>
  </si>
  <si>
    <t>drm/i915: SR-IOV Enabling and Support</t>
  </si>
  <si>
    <t>Revert "drm/i915: move platform_engine_mask and memory_regions to device info"</t>
  </si>
  <si>
    <t>drm/i915/mtl: Copy c10 phy pll sw state from master to slave for bigjoiner</t>
  </si>
  <si>
    <t>drm/i915/gt: Enable the early register to working winVM YB issue</t>
  </si>
  <si>
    <t>drm/i915/iov: Remember run state on suspend and restore it</t>
  </si>
  <si>
    <t>vfio/i915: Add vfio_pci driver for Intel graphics</t>
  </si>
  <si>
    <t>drm/i915/pf: Export API to be used by i915-vfio-pci</t>
  </si>
  <si>
    <t>drm/i915/iov: Shadow GGTT mock selftestes</t>
  </si>
  <si>
    <t>drm/i915/guc: Upgrade GuC fw version to 70.36.0</t>
  </si>
  <si>
    <t>drm/i915: fix regression on sriov vf failures due to new GuC interface with v70</t>
  </si>
  <si>
    <t>drm/i915/iov: Introduce VFs shadow copy of GGTT on PF</t>
  </si>
  <si>
    <t>drm/i915: access ddc pointer only if it is available</t>
  </si>
  <si>
    <t>drm/i915/pf: Start use shadow GGTT to save/restore during migration for Media gen13</t>
  </si>
  <si>
    <t>drm/i915: fix bitmap clear API region start issue</t>
  </si>
  <si>
    <t>drm/i915/pf: Pause VF before restore GuC state after suspend for GuC 70.25 and later</t>
  </si>
  <si>
    <t>drm/i915/pf: Save and restore VFs state during S2idle/S3/S4</t>
  </si>
  <si>
    <t>drm/i915/gt: Modify the adls mocs table same as tgl mocs table.</t>
  </si>
  <si>
    <t>drm/i915/iov: Adding runtime reg for MTL HuC status.</t>
  </si>
  <si>
    <t>i915: Enable w/a 16026508708</t>
  </si>
  <si>
    <t>drm/i915: use the original Wa_14010685332 for PCH_ADP</t>
  </si>
  <si>
    <t>drm/i915/mtl: Add module parameter override for Wa_16019325821/Wa_14019159160</t>
  </si>
  <si>
    <t>drm/i915/gt: Don't support GGTT save/restore via BAR for Media gen13</t>
  </si>
  <si>
    <t>drm/i915/iov: Flag which tells whether PAUSE is in progress</t>
  </si>
  <si>
    <t>drm/i915/pf: Introduce i915_ggtt_save_ptes and i915_ggtt_restore_ptes</t>
  </si>
  <si>
    <t>drm/i915/mtl: Provide user the option to disable ccs</t>
  </si>
  <si>
    <t>drm/i915/mtl: Turn on Wa_16019325821/Wa_14019159160 by default</t>
  </si>
  <si>
    <t>drm/i915: Re-add enable_rc6 modparam</t>
  </si>
  <si>
    <t>drm/virtio: freeze and restore hooks to support suspend and resume</t>
  </si>
  <si>
    <t>drm/virtio: save and restore virtio_gpu_objects</t>
  </si>
  <si>
    <t>2025-07-28 08:52:51</t>
  </si>
  <si>
    <t>2025-05-22 04:01:34</t>
  </si>
  <si>
    <t>2023-03-29 01:10:41</t>
  </si>
  <si>
    <t>2024-08-23 01:57:19</t>
  </si>
  <si>
    <t>2022-02-24 07:01:29</t>
  </si>
  <si>
    <t>2024-09-23 09:39:35</t>
  </si>
  <si>
    <t>2025-01-17 04:02:25</t>
  </si>
  <si>
    <t>2024-12-09 07:36:19</t>
  </si>
  <si>
    <t>2024-05-31 02:58:53</t>
  </si>
  <si>
    <t>2025-05-21 09:31:58</t>
  </si>
  <si>
    <t>2025-07-02 01:45:56</t>
  </si>
  <si>
    <t>2025-02-18 10:24:58</t>
  </si>
  <si>
    <t>07d2bb2b54ae6ff716a7fa5a56525236228c9718</t>
  </si>
  <si>
    <t>0c2e446173ab17b635d7740c2c380280bcc99848</t>
  </si>
  <si>
    <t>2870a10d6958725cc19ccd6e1b41de2f04cf8214</t>
  </si>
  <si>
    <t>3ab49cd36b9e6de282d6d0a45cc8bca21091fa6a</t>
  </si>
  <si>
    <t>456e3ee80a75ac542f5661741092a9339d87cc70</t>
  </si>
  <si>
    <t>5b77495418de34ed4f1865f0a16b60d2a6dd075a</t>
  </si>
  <si>
    <t>5ba0e90e946eb52253c904167ed281dcc291c19c</t>
  </si>
  <si>
    <t>648847dc97275f15449017845be45f81fcc0abfe</t>
  </si>
  <si>
    <t>67e8836597dc7718e6e26e51c790821006b9f11b</t>
  </si>
  <si>
    <t>6a40b1f8d018e08558bf07a7f23e68733ab6f345</t>
  </si>
  <si>
    <t>6d77ab959a81c27e20a541065096bb43afaba1fc</t>
  </si>
  <si>
    <t>71ac364e798156f85a34ea78184493c76a7e9df2</t>
  </si>
  <si>
    <t>7424736a62c0a2c328a9515262383166c9ed809b</t>
  </si>
  <si>
    <t>7d4380921a17e72ffb3d5e9809432b2d22672c37</t>
  </si>
  <si>
    <t>91a764452e1009ebc6316d1d64eeac10f8b3bf14</t>
  </si>
  <si>
    <t>af35cf0c7073ad47465d661874d88ef1dd97184e</t>
  </si>
  <si>
    <t>b1e6e955ea1892627bbf54016749507050024cfd</t>
  </si>
  <si>
    <t>ba8ffc396c69a185e7182a1893ef69918f15790a</t>
  </si>
  <si>
    <t>bcb1dc866006c3bc275af2648bc9d95ed1fe085e</t>
  </si>
  <si>
    <t>bebb52368b254c3888d45751e13d0cdae66464c1</t>
  </si>
  <si>
    <t>c2ffc3c3859398dbf9fa12f08586a880d89f824b</t>
  </si>
  <si>
    <t>c66d1b62a0d6568760e371fd12fa54d939aac98f</t>
  </si>
  <si>
    <t>cdb78c665e4130a374c42e44835e5be61d1944c8</t>
  </si>
  <si>
    <t>de511be7fc980c08ad923de02b3da74a68648871</t>
  </si>
  <si>
    <t>e0b73ac57ecbdde372445157500cbb24ce421909</t>
  </si>
  <si>
    <t>e11a8d013863eba16d65726e0e717f804991a2c5</t>
  </si>
  <si>
    <t>e558513020b1e689fa13cb3e0f34774aa89180fc</t>
  </si>
  <si>
    <t>ebe331c6094b9ce229017329b06d07d004387d26</t>
  </si>
  <si>
    <t>f1ccfe634568aaf78f2682e2ea67ae4ad51de307</t>
  </si>
  <si>
    <t>fb66a15ca05d9dc70ec8b95c09f85f2ecad528ee</t>
  </si>
  <si>
    <t>ff0681d04287110afceed4e959b28a86f5cbee01</t>
  </si>
  <si>
    <t>3cd00e687b8cca6847606bcf81bf58263eb18f79</t>
  </si>
  <si>
    <t>746695a1a5b471e5660afea3930384e2f3246575</t>
  </si>
  <si>
    <t>issei: initial driver skeleton</t>
  </si>
  <si>
    <t>mei: set parent for char device</t>
  </si>
  <si>
    <t>mei: bus: fix device leak</t>
  </si>
  <si>
    <t>INTEL_DII/FIXME: mei: iaf: add iaf (Intel Accelerator Fabric) component driver</t>
  </si>
  <si>
    <t>mei: bus: use cldev in prints</t>
  </si>
  <si>
    <t>mei: bus: add api to query capabilities of ME clients</t>
  </si>
  <si>
    <t>issei: add heci hardware module</t>
  </si>
  <si>
    <t>issei: implement main thread and ham messages</t>
  </si>
  <si>
    <t>issei: add firmware and host clients implementation, finish character device</t>
  </si>
  <si>
    <t>issei: update MAINTAINERS file</t>
  </si>
  <si>
    <t>mei: make char device control its own lifetime</t>
  </si>
  <si>
    <t>mei: more prints with client prefix</t>
  </si>
  <si>
    <t>x86/boot/tboot: Add TPR support</t>
  </si>
  <si>
    <t>mei: create dedicated device object</t>
  </si>
  <si>
    <t>Add security.md file</t>
  </si>
  <si>
    <t>mei: expose device kind for ioe device</t>
  </si>
  <si>
    <t>INTEL_DII: mei: avoid reset if fw is down</t>
  </si>
  <si>
    <t>2025-07-07 02:51:44</t>
  </si>
  <si>
    <t>2025-07-07 02:04:16</t>
  </si>
  <si>
    <t>2024-07-31 02:24:07</t>
  </si>
  <si>
    <t>2025-04-23 07:45:36</t>
  </si>
  <si>
    <t>2025-02-14 01:52:22</t>
  </si>
  <si>
    <t>2025-06-26 04:33:37</t>
  </si>
  <si>
    <t>007218eb61968e9b4331257934381403bbf4b93b</t>
  </si>
  <si>
    <t>0191f0f080321b6a83d68895e2ce0b415297c598</t>
  </si>
  <si>
    <t>1cb2588b028601c3d150d573e5d9f5d97eb0eab5</t>
  </si>
  <si>
    <t>21c7010bb323722b7a467f6c4e30ac552fc865cf</t>
  </si>
  <si>
    <t>365e608920a1314c933781fcae3ef7fc92081785</t>
  </si>
  <si>
    <t>508138d228205b26041bd4d247e2c9d5be31b810</t>
  </si>
  <si>
    <t>589586af55de041082b6e5cef1854158f9b6efa7</t>
  </si>
  <si>
    <t>660ad6981a1a71efd6ecd8d5cec3a0535f4e7b31</t>
  </si>
  <si>
    <t>7110f9eef28db38f10bf5355db39b15b6a548546</t>
  </si>
  <si>
    <t>838fc0acbfe78220e9294457273a455aa7b524f6</t>
  </si>
  <si>
    <t>978a06cdd32648f990d9b17bc152abe8ea0d782d</t>
  </si>
  <si>
    <t>d7f952a8f38055081b4b205df786b540c36af4f9</t>
  </si>
  <si>
    <t>5698c3ad973bfa684f45d266b02de5c719f02bf2</t>
  </si>
  <si>
    <t>04b6abc779dba8d89e9b7af81a1c61fb1acc3db6</t>
  </si>
  <si>
    <t>4c2ea143692a890afcd833e1de0dd750ade6138a</t>
  </si>
  <si>
    <t>a93ab8b9d293c3f6058a401bafd47100359c229b</t>
  </si>
  <si>
    <t>f938cb38a7125525640f3f553393890569476914</t>
  </si>
  <si>
    <t>3fd97f2292c7e3a0374337e2cdb25b0bf4f797e0</t>
  </si>
  <si>
    <t>631ae0c01010ba20a42889fb8b6d902fa02d76c1</t>
  </si>
  <si>
    <t>ACPI: DPTF: Support for Wildcat Lake</t>
  </si>
  <si>
    <t>thermal: int340x: processor_thermal: Add Wildcat Lake PCI ID</t>
  </si>
  <si>
    <t>2025-06-25 09:58:57</t>
  </si>
  <si>
    <t>22824b73c2b0ac34be1bc46ee2095175f5535200</t>
  </si>
  <si>
    <t>42e9878c498cccc59a790712f4123a9262a077c2</t>
  </si>
  <si>
    <t>9cf45756a4b9a7341333dfa8119b823ba66cd17e</t>
  </si>
  <si>
    <t>b65b8ed7e80dd7e1c944a9fa75c47c030612f5a6</t>
  </si>
  <si>
    <t>PMC_Core Thermal Management</t>
  </si>
  <si>
    <t>thunderbolt: Make XDomain lane bonding comply with the USB4 v2 spec</t>
  </si>
  <si>
    <t>thunderbolt: Add support for Intel Wildcat Lake</t>
  </si>
  <si>
    <t>thunderbolt: Fix typos in documentation comments</t>
  </si>
  <si>
    <t>net: thunderbolt: Allow changing MTU of the device</t>
  </si>
  <si>
    <t>thunderbolt: Add Kconfig option to disable PCIe tunneling</t>
  </si>
  <si>
    <t>2023-09-26 02:46:37</t>
  </si>
  <si>
    <t>2025-07-28 07:15:33</t>
  </si>
  <si>
    <t>2024-06-13 06:22:46</t>
  </si>
  <si>
    <t>10364e1f4053cf2d6d90e0471819402847845f6e</t>
  </si>
  <si>
    <t>25327ca33b571bde2f03b1531176fc9ca307c67c</t>
  </si>
  <si>
    <t>3cc2c1cc322bed5b86daef87108e6b29050f8aeb</t>
  </si>
  <si>
    <t>93d65a32185b9b84635630960736e2858f882497</t>
  </si>
  <si>
    <t>976c36c5c7eb4580e6ffe321c54afc372c3b6269</t>
  </si>
  <si>
    <t>2d1beba54fdaac0d624b016025d4ec5856713fb1</t>
  </si>
  <si>
    <t>accel/ivpu: Add initial Wildcat Lake support</t>
  </si>
  <si>
    <t>2025-08-12 10:13:33</t>
  </si>
  <si>
    <t>34fe2b712fdc528688e01cc3a8836d71f53d8436</t>
  </si>
  <si>
    <t>83464405063b256bc73c15a1d1d8dc902163600f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</si>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</sst>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A400"/>
        <bgColor indexed="64"/>
      </patternFill>
    </fill>
    <fill>
      <patternFill patternType="solid">
        <fgColor rgb="FFFFEFD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A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ira.devtools.intel.com/browse/PKT-18744" TargetMode="External"/><Relationship Id="rId7" Type="http://schemas.openxmlformats.org/officeDocument/2006/relationships/hyperlink" Target="https://jira.devtools.intel.com/browse/PKT-18739" TargetMode="External"/><Relationship Id="rId2" Type="http://schemas.openxmlformats.org/officeDocument/2006/relationships/hyperlink" Target="https://jira.devtools.intel.com/browse/PKT-18743" TargetMode="External"/><Relationship Id="rId1" Type="http://schemas.openxmlformats.org/officeDocument/2006/relationships/hyperlink" Target="https://jira.devtools.intel.com/browse/PKT-18741" TargetMode="External"/><Relationship Id="rId6" Type="http://schemas.openxmlformats.org/officeDocument/2006/relationships/hyperlink" Target="https://jira.devtools.intel.com/browse/PKT-18738" TargetMode="External"/><Relationship Id="rId5" Type="http://schemas.openxmlformats.org/officeDocument/2006/relationships/hyperlink" Target="https://jira.devtools.intel.com/browse/PKT-18737" TargetMode="External"/><Relationship Id="rId4" Type="http://schemas.openxmlformats.org/officeDocument/2006/relationships/hyperlink" Target="https://jira.devtools.intel.com/browse/PKT-187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33"/>
  </sheetPr>
  <dimension ref="A1:Z22"/>
  <sheetViews>
    <sheetView tabSelected="1" workbookViewId="0">
      <selection sqref="A1:B1"/>
    </sheetView>
  </sheetViews>
  <sheetFormatPr defaultRowHeight="13.8" x14ac:dyDescent="0.3"/>
  <cols>
    <col min="1" max="1" width="34.6640625" customWidth="1"/>
    <col min="2" max="2" width="11.6640625" customWidth="1"/>
    <col min="3" max="3" width="31.6640625" customWidth="1"/>
    <col min="4" max="4" width="11.6640625" customWidth="1"/>
    <col min="5" max="23" width="10.6640625" customWidth="1"/>
    <col min="24" max="24" width="12.6640625" customWidth="1"/>
    <col min="25" max="25" width="17.6640625" customWidth="1"/>
    <col min="26" max="26" width="52.6640625" customWidth="1"/>
  </cols>
  <sheetData>
    <row r="1" spans="1:26" x14ac:dyDescent="0.3">
      <c r="A1" s="11" t="s">
        <v>0</v>
      </c>
      <c r="B1" s="11"/>
      <c r="C1" s="11" t="s">
        <v>3</v>
      </c>
      <c r="D1" s="11"/>
      <c r="E1" s="11"/>
      <c r="F1" s="13" t="s">
        <v>6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1" t="s">
        <v>17</v>
      </c>
      <c r="Y1" s="11" t="s">
        <v>18</v>
      </c>
      <c r="Z1" s="11" t="s">
        <v>19</v>
      </c>
    </row>
    <row r="2" spans="1:26" x14ac:dyDescent="0.3">
      <c r="A2" s="11" t="s">
        <v>1</v>
      </c>
      <c r="B2" s="11" t="s">
        <v>2</v>
      </c>
      <c r="C2" s="11" t="s">
        <v>4</v>
      </c>
      <c r="D2" s="11" t="s">
        <v>2</v>
      </c>
      <c r="E2" s="12" t="s">
        <v>5</v>
      </c>
      <c r="F2" s="13" t="s">
        <v>7</v>
      </c>
      <c r="G2" s="13"/>
      <c r="H2" s="13" t="s">
        <v>9</v>
      </c>
      <c r="I2" s="13"/>
      <c r="J2" s="13" t="s">
        <v>10</v>
      </c>
      <c r="K2" s="13"/>
      <c r="L2" s="13" t="s">
        <v>11</v>
      </c>
      <c r="M2" s="13"/>
      <c r="N2" s="13" t="s">
        <v>12</v>
      </c>
      <c r="O2" s="13"/>
      <c r="P2" s="13" t="s">
        <v>13</v>
      </c>
      <c r="Q2" s="13"/>
      <c r="R2" s="13" t="s">
        <v>14</v>
      </c>
      <c r="S2" s="13"/>
      <c r="T2" s="13" t="s">
        <v>15</v>
      </c>
      <c r="U2" s="13"/>
      <c r="V2" s="13" t="s">
        <v>16</v>
      </c>
      <c r="W2" s="13"/>
      <c r="X2" s="11"/>
      <c r="Y2" s="11"/>
      <c r="Z2" s="11"/>
    </row>
    <row r="3" spans="1:26" x14ac:dyDescent="0.3">
      <c r="A3" s="11"/>
      <c r="B3" s="11"/>
      <c r="C3" s="11"/>
      <c r="D3" s="11"/>
      <c r="E3" s="12"/>
      <c r="F3" s="3" t="s">
        <v>8</v>
      </c>
      <c r="G3" s="2" t="s">
        <v>5</v>
      </c>
      <c r="H3" s="3" t="s">
        <v>8</v>
      </c>
      <c r="I3" s="2" t="s">
        <v>5</v>
      </c>
      <c r="J3" s="3" t="s">
        <v>8</v>
      </c>
      <c r="K3" s="2" t="s">
        <v>5</v>
      </c>
      <c r="L3" s="3" t="s">
        <v>8</v>
      </c>
      <c r="M3" s="2" t="s">
        <v>5</v>
      </c>
      <c r="N3" s="3" t="s">
        <v>8</v>
      </c>
      <c r="O3" s="2" t="s">
        <v>5</v>
      </c>
      <c r="P3" s="3" t="s">
        <v>8</v>
      </c>
      <c r="Q3" s="2" t="s">
        <v>5</v>
      </c>
      <c r="R3" s="3" t="s">
        <v>8</v>
      </c>
      <c r="S3" s="2" t="s">
        <v>5</v>
      </c>
      <c r="T3" s="3" t="s">
        <v>8</v>
      </c>
      <c r="U3" s="2" t="s">
        <v>5</v>
      </c>
      <c r="V3" s="3" t="s">
        <v>8</v>
      </c>
      <c r="W3" s="2" t="s">
        <v>5</v>
      </c>
      <c r="X3" s="11"/>
      <c r="Y3" s="11"/>
      <c r="Z3" s="11"/>
    </row>
    <row r="4" spans="1:26" x14ac:dyDescent="0.3">
      <c r="A4" s="4" t="s">
        <v>20</v>
      </c>
      <c r="B4" s="4">
        <v>2</v>
      </c>
      <c r="C4" s="5" t="s">
        <v>34</v>
      </c>
      <c r="D4" s="5">
        <v>2</v>
      </c>
      <c r="E4" s="2"/>
      <c r="F4" s="3"/>
      <c r="G4" s="2"/>
      <c r="H4" s="3"/>
      <c r="I4" s="2"/>
      <c r="J4" s="3"/>
      <c r="K4" s="2"/>
      <c r="L4" s="3"/>
      <c r="M4" s="2"/>
      <c r="N4" s="3"/>
      <c r="O4" s="2"/>
      <c r="P4" s="3"/>
      <c r="Q4" s="2"/>
      <c r="R4" s="3"/>
      <c r="S4" s="2"/>
      <c r="T4" s="3">
        <v>2</v>
      </c>
      <c r="U4" s="2"/>
      <c r="V4" s="3"/>
      <c r="W4" s="2"/>
      <c r="X4" s="6"/>
      <c r="Y4" s="6"/>
      <c r="Z4" s="7"/>
    </row>
    <row r="5" spans="1:26" x14ac:dyDescent="0.3">
      <c r="A5" s="4" t="s">
        <v>21</v>
      </c>
      <c r="B5" s="4">
        <v>14</v>
      </c>
      <c r="C5" s="5" t="s">
        <v>35</v>
      </c>
      <c r="D5" s="5">
        <v>14</v>
      </c>
      <c r="E5" s="2">
        <v>11</v>
      </c>
      <c r="F5" s="3"/>
      <c r="G5" s="2"/>
      <c r="H5" s="3"/>
      <c r="I5" s="2"/>
      <c r="J5" s="3"/>
      <c r="K5" s="2"/>
      <c r="L5" s="3"/>
      <c r="M5" s="2"/>
      <c r="N5" s="3">
        <v>1</v>
      </c>
      <c r="O5" s="2">
        <v>1</v>
      </c>
      <c r="P5" s="3"/>
      <c r="Q5" s="2"/>
      <c r="R5" s="3"/>
      <c r="S5" s="2"/>
      <c r="T5" s="3">
        <v>1</v>
      </c>
      <c r="U5" s="2">
        <v>1</v>
      </c>
      <c r="V5" s="3">
        <v>2</v>
      </c>
      <c r="W5" s="2">
        <v>10</v>
      </c>
      <c r="X5" s="6"/>
      <c r="Y5" s="6"/>
      <c r="Z5" s="7" t="s">
        <v>45</v>
      </c>
    </row>
    <row r="6" spans="1:26" x14ac:dyDescent="0.3">
      <c r="A6" s="4" t="s">
        <v>22</v>
      </c>
      <c r="B6" s="4">
        <v>1</v>
      </c>
      <c r="C6" s="5" t="s">
        <v>36</v>
      </c>
      <c r="D6" s="5">
        <v>1</v>
      </c>
      <c r="E6" s="2">
        <v>1</v>
      </c>
      <c r="F6" s="3"/>
      <c r="G6" s="2"/>
      <c r="H6" s="3"/>
      <c r="I6" s="2"/>
      <c r="J6" s="3"/>
      <c r="K6" s="2"/>
      <c r="L6" s="3"/>
      <c r="M6" s="2"/>
      <c r="N6" s="3"/>
      <c r="O6" s="2"/>
      <c r="P6" s="3"/>
      <c r="Q6" s="2"/>
      <c r="R6" s="3"/>
      <c r="S6" s="2"/>
      <c r="T6" s="3"/>
      <c r="U6" s="2">
        <v>1</v>
      </c>
      <c r="V6" s="3"/>
      <c r="W6" s="2"/>
      <c r="X6" s="6"/>
      <c r="Y6" s="6"/>
      <c r="Z6" s="7"/>
    </row>
    <row r="7" spans="1:26" x14ac:dyDescent="0.3">
      <c r="A7" s="4" t="s">
        <v>23</v>
      </c>
      <c r="B7" s="4">
        <v>5</v>
      </c>
      <c r="C7" s="5" t="s">
        <v>23</v>
      </c>
      <c r="D7" s="5">
        <v>5</v>
      </c>
      <c r="E7" s="2">
        <v>4</v>
      </c>
      <c r="F7" s="3"/>
      <c r="G7" s="2"/>
      <c r="H7" s="3"/>
      <c r="I7" s="2"/>
      <c r="J7" s="3"/>
      <c r="K7" s="2"/>
      <c r="L7" s="3"/>
      <c r="M7" s="2"/>
      <c r="N7" s="3"/>
      <c r="O7" s="2"/>
      <c r="P7" s="3"/>
      <c r="Q7" s="2"/>
      <c r="R7" s="3"/>
      <c r="S7" s="2"/>
      <c r="T7" s="3">
        <v>1</v>
      </c>
      <c r="U7" s="2">
        <v>4</v>
      </c>
      <c r="V7" s="3"/>
      <c r="W7" s="2"/>
      <c r="X7" s="6"/>
      <c r="Y7" s="6"/>
      <c r="Z7" s="7"/>
    </row>
    <row r="8" spans="1:26" x14ac:dyDescent="0.3">
      <c r="A8" s="4" t="s">
        <v>24</v>
      </c>
      <c r="B8" s="4">
        <v>45</v>
      </c>
      <c r="C8" s="5" t="s">
        <v>37</v>
      </c>
      <c r="D8" s="5">
        <v>45</v>
      </c>
      <c r="E8" s="2">
        <v>44</v>
      </c>
      <c r="F8" s="3"/>
      <c r="G8" s="2"/>
      <c r="H8" s="3"/>
      <c r="I8" s="2"/>
      <c r="J8" s="3"/>
      <c r="K8" s="2"/>
      <c r="L8" s="3"/>
      <c r="M8" s="2"/>
      <c r="N8" s="3"/>
      <c r="O8" s="2"/>
      <c r="P8" s="3"/>
      <c r="Q8" s="2"/>
      <c r="R8" s="3"/>
      <c r="S8" s="2"/>
      <c r="T8" s="3">
        <v>1</v>
      </c>
      <c r="U8" s="2">
        <v>44</v>
      </c>
      <c r="V8" s="3"/>
      <c r="W8" s="2"/>
      <c r="X8" s="6"/>
      <c r="Y8" s="6"/>
      <c r="Z8" s="7" t="s">
        <v>46</v>
      </c>
    </row>
    <row r="9" spans="1:26" x14ac:dyDescent="0.3">
      <c r="A9" s="4" t="s">
        <v>25</v>
      </c>
      <c r="B9" s="4">
        <v>44</v>
      </c>
      <c r="C9" s="5" t="s">
        <v>25</v>
      </c>
      <c r="D9" s="5">
        <v>44</v>
      </c>
      <c r="E9" s="2">
        <v>40</v>
      </c>
      <c r="F9" s="3"/>
      <c r="G9" s="2"/>
      <c r="H9" s="3"/>
      <c r="I9" s="2"/>
      <c r="J9" s="3"/>
      <c r="K9" s="2"/>
      <c r="L9" s="3"/>
      <c r="M9" s="2"/>
      <c r="N9" s="3"/>
      <c r="O9" s="2"/>
      <c r="P9" s="3"/>
      <c r="Q9" s="2"/>
      <c r="R9" s="3"/>
      <c r="S9" s="2"/>
      <c r="T9" s="3"/>
      <c r="U9" s="2"/>
      <c r="V9" s="3">
        <v>4</v>
      </c>
      <c r="W9" s="2">
        <v>40</v>
      </c>
      <c r="X9" s="6"/>
      <c r="Y9" s="6"/>
      <c r="Z9" s="7" t="s">
        <v>47</v>
      </c>
    </row>
    <row r="10" spans="1:26" x14ac:dyDescent="0.3">
      <c r="A10" s="4" t="s">
        <v>26</v>
      </c>
      <c r="B10" s="4">
        <v>5</v>
      </c>
      <c r="C10" s="5" t="s">
        <v>38</v>
      </c>
      <c r="D10" s="5">
        <v>5</v>
      </c>
      <c r="E10" s="2">
        <v>5</v>
      </c>
      <c r="F10" s="3"/>
      <c r="G10" s="2"/>
      <c r="H10" s="3"/>
      <c r="I10" s="2"/>
      <c r="J10" s="3"/>
      <c r="K10" s="2"/>
      <c r="L10" s="3"/>
      <c r="M10" s="2"/>
      <c r="N10" s="3"/>
      <c r="O10" s="2">
        <v>5</v>
      </c>
      <c r="P10" s="3"/>
      <c r="Q10" s="2"/>
      <c r="R10" s="3"/>
      <c r="S10" s="2"/>
      <c r="T10" s="3"/>
      <c r="U10" s="2"/>
      <c r="V10" s="3"/>
      <c r="W10" s="2"/>
      <c r="X10" s="6"/>
      <c r="Y10" s="6"/>
      <c r="Z10" s="7"/>
    </row>
    <row r="11" spans="1:26" x14ac:dyDescent="0.3">
      <c r="A11" s="14" t="s">
        <v>27</v>
      </c>
      <c r="B11" s="14">
        <v>17</v>
      </c>
      <c r="C11" s="5" t="s">
        <v>39</v>
      </c>
      <c r="D11" s="5">
        <v>5</v>
      </c>
      <c r="E11" s="2">
        <v>5</v>
      </c>
      <c r="F11" s="3"/>
      <c r="G11" s="2"/>
      <c r="H11" s="3"/>
      <c r="I11" s="2"/>
      <c r="J11" s="3"/>
      <c r="K11" s="2"/>
      <c r="L11" s="3"/>
      <c r="M11" s="2">
        <v>5</v>
      </c>
      <c r="N11" s="3"/>
      <c r="O11" s="2"/>
      <c r="P11" s="3"/>
      <c r="Q11" s="2"/>
      <c r="R11" s="3"/>
      <c r="S11" s="2"/>
      <c r="T11" s="3"/>
      <c r="U11" s="2"/>
      <c r="V11" s="3"/>
      <c r="W11" s="2"/>
      <c r="X11" s="6"/>
      <c r="Y11" s="6"/>
      <c r="Z11" s="7"/>
    </row>
    <row r="12" spans="1:26" x14ac:dyDescent="0.3">
      <c r="A12" s="14"/>
      <c r="B12" s="14"/>
      <c r="C12" s="5" t="s">
        <v>40</v>
      </c>
      <c r="D12" s="5">
        <v>9</v>
      </c>
      <c r="E12" s="2">
        <v>7</v>
      </c>
      <c r="F12" s="3"/>
      <c r="G12" s="2"/>
      <c r="H12" s="3"/>
      <c r="I12" s="2"/>
      <c r="J12" s="3"/>
      <c r="K12" s="2"/>
      <c r="L12" s="3">
        <v>2</v>
      </c>
      <c r="M12" s="2">
        <v>4</v>
      </c>
      <c r="N12" s="3"/>
      <c r="O12" s="2"/>
      <c r="P12" s="3"/>
      <c r="Q12" s="2"/>
      <c r="R12" s="3"/>
      <c r="S12" s="2"/>
      <c r="T12" s="3"/>
      <c r="U12" s="2"/>
      <c r="V12" s="3"/>
      <c r="W12" s="2">
        <v>3</v>
      </c>
      <c r="X12" s="6"/>
      <c r="Y12" s="6"/>
      <c r="Z12" s="7"/>
    </row>
    <row r="13" spans="1:26" x14ac:dyDescent="0.3">
      <c r="A13" s="14"/>
      <c r="B13" s="14"/>
      <c r="C13" s="5" t="s">
        <v>41</v>
      </c>
      <c r="D13" s="5">
        <v>1</v>
      </c>
      <c r="E13" s="2">
        <v>1</v>
      </c>
      <c r="F13" s="3"/>
      <c r="G13" s="2"/>
      <c r="H13" s="3"/>
      <c r="I13" s="2"/>
      <c r="J13" s="3"/>
      <c r="K13" s="2"/>
      <c r="L13" s="3"/>
      <c r="M13" s="2">
        <v>1</v>
      </c>
      <c r="N13" s="3"/>
      <c r="O13" s="2"/>
      <c r="P13" s="3"/>
      <c r="Q13" s="2"/>
      <c r="R13" s="3"/>
      <c r="S13" s="2"/>
      <c r="T13" s="3"/>
      <c r="U13" s="2"/>
      <c r="V13" s="3"/>
      <c r="W13" s="2"/>
      <c r="X13" s="6"/>
      <c r="Y13" s="6"/>
      <c r="Z13" s="7"/>
    </row>
    <row r="14" spans="1:26" x14ac:dyDescent="0.3">
      <c r="A14" s="14"/>
      <c r="B14" s="14"/>
      <c r="C14" s="5" t="s">
        <v>27</v>
      </c>
      <c r="D14" s="5">
        <v>2</v>
      </c>
      <c r="E14" s="2">
        <v>2</v>
      </c>
      <c r="F14" s="3"/>
      <c r="G14" s="2"/>
      <c r="H14" s="3"/>
      <c r="I14" s="2"/>
      <c r="J14" s="3"/>
      <c r="K14" s="2"/>
      <c r="L14" s="3"/>
      <c r="M14" s="2">
        <v>1</v>
      </c>
      <c r="N14" s="3"/>
      <c r="O14" s="2">
        <v>1</v>
      </c>
      <c r="P14" s="3"/>
      <c r="Q14" s="2"/>
      <c r="R14" s="3"/>
      <c r="S14" s="2"/>
      <c r="T14" s="3"/>
      <c r="U14" s="2">
        <v>1</v>
      </c>
      <c r="V14" s="3"/>
      <c r="W14" s="2">
        <v>1</v>
      </c>
      <c r="X14" s="6"/>
      <c r="Y14" s="6"/>
      <c r="Z14" s="7" t="s">
        <v>48</v>
      </c>
    </row>
    <row r="15" spans="1:26" x14ac:dyDescent="0.3">
      <c r="A15" s="4" t="s">
        <v>28</v>
      </c>
      <c r="B15" s="4">
        <v>33</v>
      </c>
      <c r="C15" s="5" t="s">
        <v>28</v>
      </c>
      <c r="D15" s="5">
        <v>33</v>
      </c>
      <c r="E15" s="2">
        <v>33</v>
      </c>
      <c r="F15" s="3"/>
      <c r="G15" s="2">
        <v>31</v>
      </c>
      <c r="H15" s="3"/>
      <c r="I15" s="2">
        <v>31</v>
      </c>
      <c r="J15" s="3"/>
      <c r="K15" s="2"/>
      <c r="L15" s="3"/>
      <c r="M15" s="2"/>
      <c r="N15" s="3"/>
      <c r="O15" s="2">
        <v>2</v>
      </c>
      <c r="P15" s="3"/>
      <c r="Q15" s="2"/>
      <c r="R15" s="3"/>
      <c r="S15" s="2"/>
      <c r="T15" s="3"/>
      <c r="U15" s="2"/>
      <c r="V15" s="3"/>
      <c r="W15" s="2"/>
      <c r="X15" s="6"/>
      <c r="Y15" s="6"/>
      <c r="Z15" s="7" t="s">
        <v>49</v>
      </c>
    </row>
    <row r="16" spans="1:26" x14ac:dyDescent="0.3">
      <c r="A16" s="4" t="s">
        <v>29</v>
      </c>
      <c r="B16" s="4">
        <v>1</v>
      </c>
      <c r="C16" s="5" t="s">
        <v>42</v>
      </c>
      <c r="D16" s="5">
        <v>1</v>
      </c>
      <c r="E16" s="2"/>
      <c r="F16" s="3"/>
      <c r="G16" s="2"/>
      <c r="H16" s="3"/>
      <c r="I16" s="2"/>
      <c r="J16" s="3"/>
      <c r="K16" s="2"/>
      <c r="L16" s="3"/>
      <c r="M16" s="2"/>
      <c r="N16" s="3"/>
      <c r="O16" s="2"/>
      <c r="P16" s="3"/>
      <c r="Q16" s="2"/>
      <c r="R16" s="3"/>
      <c r="S16" s="2"/>
      <c r="T16" s="3">
        <v>1</v>
      </c>
      <c r="U16" s="2"/>
      <c r="V16" s="3"/>
      <c r="W16" s="2"/>
      <c r="X16" s="6"/>
      <c r="Y16" s="6"/>
      <c r="Z16" s="7"/>
    </row>
    <row r="17" spans="1:26" x14ac:dyDescent="0.3">
      <c r="A17" s="4" t="s">
        <v>30</v>
      </c>
      <c r="B17" s="4">
        <v>32</v>
      </c>
      <c r="C17" s="5" t="s">
        <v>43</v>
      </c>
      <c r="D17" s="5">
        <v>32</v>
      </c>
      <c r="E17" s="2">
        <v>21</v>
      </c>
      <c r="F17" s="3"/>
      <c r="G17" s="2">
        <v>15</v>
      </c>
      <c r="H17" s="3"/>
      <c r="I17" s="2">
        <v>15</v>
      </c>
      <c r="J17" s="3"/>
      <c r="K17" s="2">
        <v>1</v>
      </c>
      <c r="L17" s="3"/>
      <c r="M17" s="2"/>
      <c r="N17" s="3"/>
      <c r="O17" s="2">
        <v>4</v>
      </c>
      <c r="P17" s="3"/>
      <c r="Q17" s="2"/>
      <c r="R17" s="3"/>
      <c r="S17" s="2"/>
      <c r="T17" s="3">
        <v>11</v>
      </c>
      <c r="U17" s="2">
        <v>1</v>
      </c>
      <c r="V17" s="3"/>
      <c r="W17" s="2"/>
      <c r="X17" s="6"/>
      <c r="Y17" s="6"/>
      <c r="Z17" s="7" t="s">
        <v>50</v>
      </c>
    </row>
    <row r="18" spans="1:26" x14ac:dyDescent="0.3">
      <c r="A18" s="14" t="s">
        <v>31</v>
      </c>
      <c r="B18" s="14">
        <v>4</v>
      </c>
      <c r="C18" s="5" t="s">
        <v>31</v>
      </c>
      <c r="D18" s="5">
        <v>1</v>
      </c>
      <c r="E18" s="2">
        <v>1</v>
      </c>
      <c r="F18" s="3"/>
      <c r="G18" s="2"/>
      <c r="H18" s="3"/>
      <c r="I18" s="2"/>
      <c r="J18" s="3"/>
      <c r="K18" s="2"/>
      <c r="L18" s="3"/>
      <c r="M18" s="2"/>
      <c r="N18" s="3"/>
      <c r="O18" s="2">
        <v>1</v>
      </c>
      <c r="P18" s="3"/>
      <c r="Q18" s="2"/>
      <c r="R18" s="3"/>
      <c r="S18" s="2"/>
      <c r="T18" s="3"/>
      <c r="U18" s="2"/>
      <c r="V18" s="3"/>
      <c r="W18" s="2"/>
      <c r="X18" s="6"/>
      <c r="Y18" s="6"/>
      <c r="Z18" s="7"/>
    </row>
    <row r="19" spans="1:26" x14ac:dyDescent="0.3">
      <c r="A19" s="14"/>
      <c r="B19" s="14"/>
      <c r="C19" s="5" t="s">
        <v>44</v>
      </c>
      <c r="D19" s="5">
        <v>3</v>
      </c>
      <c r="E19" s="2"/>
      <c r="F19" s="3"/>
      <c r="G19" s="2"/>
      <c r="H19" s="3"/>
      <c r="I19" s="2"/>
      <c r="J19" s="3"/>
      <c r="K19" s="2"/>
      <c r="L19" s="3"/>
      <c r="M19" s="2"/>
      <c r="N19" s="3">
        <v>3</v>
      </c>
      <c r="O19" s="2"/>
      <c r="P19" s="3">
        <v>3</v>
      </c>
      <c r="Q19" s="2"/>
      <c r="R19" s="3">
        <v>3</v>
      </c>
      <c r="S19" s="2"/>
      <c r="T19" s="3"/>
      <c r="U19" s="2"/>
      <c r="V19" s="3"/>
      <c r="W19" s="2"/>
      <c r="X19" s="6"/>
      <c r="Y19" s="6"/>
      <c r="Z19" s="7" t="s">
        <v>51</v>
      </c>
    </row>
    <row r="20" spans="1:26" ht="12.6" customHeight="1" x14ac:dyDescent="0.3">
      <c r="A20" s="4" t="s">
        <v>32</v>
      </c>
      <c r="B20" s="4">
        <v>1</v>
      </c>
      <c r="C20" s="5" t="s">
        <v>32</v>
      </c>
      <c r="D20" s="5">
        <v>1</v>
      </c>
      <c r="E20" s="2">
        <v>1</v>
      </c>
      <c r="F20" s="3"/>
      <c r="G20" s="2"/>
      <c r="H20" s="3"/>
      <c r="I20" s="2"/>
      <c r="J20" s="3"/>
      <c r="K20" s="2"/>
      <c r="L20" s="3"/>
      <c r="M20" s="2"/>
      <c r="N20" s="3"/>
      <c r="O20" s="2"/>
      <c r="P20" s="3"/>
      <c r="Q20" s="2"/>
      <c r="R20" s="3"/>
      <c r="S20" s="2"/>
      <c r="T20" s="3"/>
      <c r="U20" s="2">
        <v>1</v>
      </c>
      <c r="V20" s="3"/>
      <c r="W20" s="2"/>
      <c r="X20" s="6"/>
      <c r="Y20" s="6"/>
      <c r="Z20" s="7"/>
    </row>
    <row r="21" spans="1:26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3">
      <c r="A22" s="8" t="s">
        <v>33</v>
      </c>
      <c r="B22" s="8">
        <f>SUM(B4:B20)</f>
        <v>204</v>
      </c>
      <c r="C22" s="8"/>
      <c r="D22" s="8">
        <f t="shared" ref="D22:W22" si="0">SUM(D4:D20)</f>
        <v>204</v>
      </c>
      <c r="E22" s="8">
        <f t="shared" si="0"/>
        <v>176</v>
      </c>
      <c r="F22" s="8">
        <f t="shared" si="0"/>
        <v>0</v>
      </c>
      <c r="G22" s="8">
        <f t="shared" si="0"/>
        <v>46</v>
      </c>
      <c r="H22" s="8">
        <f t="shared" si="0"/>
        <v>0</v>
      </c>
      <c r="I22" s="8">
        <f t="shared" si="0"/>
        <v>46</v>
      </c>
      <c r="J22" s="8">
        <f t="shared" si="0"/>
        <v>0</v>
      </c>
      <c r="K22" s="8">
        <f t="shared" si="0"/>
        <v>1</v>
      </c>
      <c r="L22" s="8">
        <f t="shared" si="0"/>
        <v>2</v>
      </c>
      <c r="M22" s="8">
        <f t="shared" si="0"/>
        <v>11</v>
      </c>
      <c r="N22" s="8">
        <f t="shared" si="0"/>
        <v>4</v>
      </c>
      <c r="O22" s="8">
        <f t="shared" si="0"/>
        <v>14</v>
      </c>
      <c r="P22" s="8">
        <f t="shared" si="0"/>
        <v>3</v>
      </c>
      <c r="Q22" s="8">
        <f t="shared" si="0"/>
        <v>0</v>
      </c>
      <c r="R22" s="8">
        <f t="shared" si="0"/>
        <v>3</v>
      </c>
      <c r="S22" s="8">
        <f t="shared" si="0"/>
        <v>0</v>
      </c>
      <c r="T22" s="8">
        <f t="shared" si="0"/>
        <v>17</v>
      </c>
      <c r="U22" s="8">
        <f t="shared" si="0"/>
        <v>53</v>
      </c>
      <c r="V22" s="8">
        <f t="shared" si="0"/>
        <v>6</v>
      </c>
      <c r="W22" s="8">
        <f t="shared" si="0"/>
        <v>54</v>
      </c>
    </row>
  </sheetData>
  <mergeCells count="24">
    <mergeCell ref="A11:A14"/>
    <mergeCell ref="A18:A19"/>
    <mergeCell ref="X1:X3"/>
    <mergeCell ref="Y1:Y3"/>
    <mergeCell ref="Z1:Z3"/>
    <mergeCell ref="B11:B14"/>
    <mergeCell ref="B18:B19"/>
    <mergeCell ref="C1:E1"/>
    <mergeCell ref="C2:C3"/>
    <mergeCell ref="D2:D3"/>
    <mergeCell ref="E2:E3"/>
    <mergeCell ref="F1:W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A1:B1"/>
    <mergeCell ref="A2:A3"/>
    <mergeCell ref="B2:B3"/>
  </mergeCells>
  <hyperlinks>
    <hyperlink ref="Z5" r:id="rId1" xr:uid="{00000000-0004-0000-0000-000000000000}"/>
    <hyperlink ref="Z8" r:id="rId2" xr:uid="{00000000-0004-0000-0000-000001000000}"/>
    <hyperlink ref="Z9" r:id="rId3" xr:uid="{00000000-0004-0000-0000-000002000000}"/>
    <hyperlink ref="Z14" r:id="rId4" xr:uid="{00000000-0004-0000-0000-000003000000}"/>
    <hyperlink ref="Z15" r:id="rId5" xr:uid="{00000000-0004-0000-0000-000004000000}"/>
    <hyperlink ref="Z17" r:id="rId6" xr:uid="{00000000-0004-0000-0000-000005000000}"/>
    <hyperlink ref="Z19" r:id="rId7" xr:uid="{00000000-0004-0000-0000-00000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C8918"/>
  </sheetPr>
  <dimension ref="A1:O6"/>
  <sheetViews>
    <sheetView workbookViewId="0"/>
  </sheetViews>
  <sheetFormatPr defaultRowHeight="13.8" x14ac:dyDescent="0.3"/>
  <cols>
    <col min="1" max="1" width="83.6640625" customWidth="1"/>
    <col min="2" max="2" width="23.6640625" customWidth="1"/>
    <col min="3" max="3" width="11.6640625" customWidth="1"/>
    <col min="4" max="4" width="18.6640625" customWidth="1"/>
    <col min="5" max="5" width="7.6640625" customWidth="1"/>
    <col min="6" max="7" width="9.6640625" customWidth="1"/>
    <col min="8" max="8" width="44.6640625" customWidth="1"/>
    <col min="9" max="9" width="16.6640625" customWidth="1"/>
    <col min="10" max="10" width="44.6640625" customWidth="1"/>
    <col min="11" max="11" width="27.6640625" customWidth="1"/>
    <col min="12" max="12" width="22.6640625" customWidth="1"/>
    <col min="13" max="13" width="26.6640625" customWidth="1"/>
    <col min="14" max="14" width="20.6640625" customWidth="1"/>
    <col min="15" max="15" width="12.6640625" customWidth="1"/>
  </cols>
  <sheetData>
    <row r="1" spans="1:15" x14ac:dyDescent="0.3">
      <c r="A1" s="11" t="s">
        <v>52</v>
      </c>
      <c r="B1" s="11" t="s">
        <v>53</v>
      </c>
      <c r="C1" s="11" t="s">
        <v>54</v>
      </c>
      <c r="D1" s="11" t="s">
        <v>55</v>
      </c>
      <c r="E1" s="11" t="s">
        <v>56</v>
      </c>
      <c r="F1" s="11"/>
      <c r="G1" s="11"/>
      <c r="H1" s="11" t="s">
        <v>57</v>
      </c>
      <c r="I1" s="11" t="s">
        <v>58</v>
      </c>
      <c r="J1" s="11" t="s">
        <v>59</v>
      </c>
      <c r="K1" s="11" t="s">
        <v>60</v>
      </c>
      <c r="L1" s="11" t="s">
        <v>61</v>
      </c>
      <c r="M1" s="11" t="s">
        <v>62</v>
      </c>
      <c r="N1" s="11" t="s">
        <v>3</v>
      </c>
      <c r="O1" s="11" t="s">
        <v>17</v>
      </c>
    </row>
    <row r="2" spans="1:15" x14ac:dyDescent="0.3">
      <c r="A2" s="11"/>
      <c r="B2" s="11"/>
      <c r="C2" s="11"/>
      <c r="D2" s="11"/>
      <c r="E2" s="1" t="s">
        <v>12</v>
      </c>
      <c r="F2" s="1" t="s">
        <v>13</v>
      </c>
      <c r="G2" s="1" t="s">
        <v>14</v>
      </c>
      <c r="H2" s="11"/>
      <c r="I2" s="11"/>
      <c r="J2" s="11"/>
      <c r="K2" s="11"/>
      <c r="L2" s="11"/>
      <c r="M2" s="11"/>
      <c r="N2" s="11"/>
      <c r="O2" s="11"/>
    </row>
    <row r="3" spans="1:15" x14ac:dyDescent="0.3">
      <c r="A3" s="9" t="s">
        <v>63</v>
      </c>
      <c r="B3" t="s">
        <v>67</v>
      </c>
      <c r="D3" t="s">
        <v>70</v>
      </c>
      <c r="E3" t="s">
        <v>71</v>
      </c>
      <c r="H3" t="s">
        <v>72</v>
      </c>
      <c r="I3" t="s">
        <v>76</v>
      </c>
      <c r="N3" t="s">
        <v>31</v>
      </c>
    </row>
    <row r="4" spans="1:15" x14ac:dyDescent="0.3">
      <c r="A4" s="10" t="s">
        <v>64</v>
      </c>
      <c r="B4" t="s">
        <v>68</v>
      </c>
      <c r="D4" t="s">
        <v>70</v>
      </c>
      <c r="E4" t="s">
        <v>71</v>
      </c>
      <c r="F4" t="s">
        <v>71</v>
      </c>
      <c r="G4" t="s">
        <v>71</v>
      </c>
      <c r="H4" t="s">
        <v>73</v>
      </c>
      <c r="I4" t="s">
        <v>77</v>
      </c>
      <c r="J4" t="s">
        <v>78</v>
      </c>
      <c r="K4" t="s">
        <v>81</v>
      </c>
      <c r="N4" t="s">
        <v>44</v>
      </c>
    </row>
    <row r="5" spans="1:15" x14ac:dyDescent="0.3">
      <c r="A5" s="10" t="s">
        <v>65</v>
      </c>
      <c r="B5" t="s">
        <v>69</v>
      </c>
      <c r="D5" t="s">
        <v>70</v>
      </c>
      <c r="E5" t="s">
        <v>71</v>
      </c>
      <c r="F5" t="s">
        <v>71</v>
      </c>
      <c r="G5" t="s">
        <v>71</v>
      </c>
      <c r="H5" t="s">
        <v>74</v>
      </c>
      <c r="I5" t="s">
        <v>77</v>
      </c>
      <c r="J5" t="s">
        <v>79</v>
      </c>
      <c r="K5" t="s">
        <v>81</v>
      </c>
      <c r="N5" t="s">
        <v>44</v>
      </c>
    </row>
    <row r="6" spans="1:15" x14ac:dyDescent="0.3">
      <c r="A6" s="10" t="s">
        <v>66</v>
      </c>
      <c r="B6" t="s">
        <v>69</v>
      </c>
      <c r="D6" t="s">
        <v>70</v>
      </c>
      <c r="E6" t="s">
        <v>71</v>
      </c>
      <c r="F6" t="s">
        <v>71</v>
      </c>
      <c r="G6" t="s">
        <v>71</v>
      </c>
      <c r="H6" t="s">
        <v>75</v>
      </c>
      <c r="I6" t="s">
        <v>77</v>
      </c>
      <c r="J6" t="s">
        <v>80</v>
      </c>
      <c r="K6" t="s">
        <v>81</v>
      </c>
      <c r="N6" t="s">
        <v>44</v>
      </c>
    </row>
  </sheetData>
  <mergeCells count="13">
    <mergeCell ref="M1:M2"/>
    <mergeCell ref="N1:N2"/>
    <mergeCell ref="O1:O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C8918"/>
  </sheetPr>
  <dimension ref="A1:Q34"/>
  <sheetViews>
    <sheetView workbookViewId="0"/>
  </sheetViews>
  <sheetFormatPr defaultRowHeight="13.8" x14ac:dyDescent="0.3"/>
  <cols>
    <col min="1" max="1" width="83.6640625" customWidth="1"/>
    <col min="2" max="2" width="23.6640625" customWidth="1"/>
    <col min="3" max="3" width="11.6640625" customWidth="1"/>
    <col min="4" max="4" width="18.6640625" customWidth="1"/>
    <col min="5" max="6" width="9.6640625" customWidth="1"/>
    <col min="7" max="7" width="11.6640625" customWidth="1"/>
    <col min="8" max="9" width="7.6640625" customWidth="1"/>
    <col min="10" max="10" width="44.6640625" customWidth="1"/>
    <col min="11" max="11" width="16.6640625" customWidth="1"/>
    <col min="12" max="12" width="44.6640625" customWidth="1"/>
    <col min="13" max="13" width="27.6640625" customWidth="1"/>
    <col min="14" max="14" width="22.6640625" customWidth="1"/>
    <col min="15" max="15" width="26.6640625" customWidth="1"/>
    <col min="16" max="16" width="11.6640625" customWidth="1"/>
    <col min="17" max="17" width="12.6640625" customWidth="1"/>
  </cols>
  <sheetData>
    <row r="1" spans="1:17" x14ac:dyDescent="0.3">
      <c r="A1" s="11" t="s">
        <v>52</v>
      </c>
      <c r="B1" s="11" t="s">
        <v>53</v>
      </c>
      <c r="C1" s="11" t="s">
        <v>54</v>
      </c>
      <c r="D1" s="11" t="s">
        <v>55</v>
      </c>
      <c r="E1" s="11" t="s">
        <v>56</v>
      </c>
      <c r="F1" s="11"/>
      <c r="G1" s="11"/>
      <c r="H1" s="11"/>
      <c r="I1" s="11"/>
      <c r="J1" s="11" t="s">
        <v>57</v>
      </c>
      <c r="K1" s="11" t="s">
        <v>58</v>
      </c>
      <c r="L1" s="11" t="s">
        <v>59</v>
      </c>
      <c r="M1" s="11" t="s">
        <v>60</v>
      </c>
      <c r="N1" s="11" t="s">
        <v>61</v>
      </c>
      <c r="O1" s="11" t="s">
        <v>62</v>
      </c>
      <c r="P1" s="11" t="s">
        <v>3</v>
      </c>
      <c r="Q1" s="11" t="s">
        <v>17</v>
      </c>
    </row>
    <row r="2" spans="1:17" x14ac:dyDescent="0.3">
      <c r="A2" s="11"/>
      <c r="B2" s="11"/>
      <c r="C2" s="11"/>
      <c r="D2" s="11"/>
      <c r="E2" s="1" t="s">
        <v>7</v>
      </c>
      <c r="F2" s="1" t="s">
        <v>9</v>
      </c>
      <c r="G2" s="1" t="s">
        <v>10</v>
      </c>
      <c r="H2" s="1" t="s">
        <v>12</v>
      </c>
      <c r="I2" s="1" t="s">
        <v>15</v>
      </c>
      <c r="J2" s="11"/>
      <c r="K2" s="11"/>
      <c r="L2" s="11"/>
      <c r="M2" s="11"/>
      <c r="N2" s="11"/>
      <c r="O2" s="11"/>
      <c r="P2" s="11"/>
      <c r="Q2" s="11"/>
    </row>
    <row r="3" spans="1:17" x14ac:dyDescent="0.3">
      <c r="A3" s="9" t="s">
        <v>82</v>
      </c>
      <c r="B3" t="s">
        <v>114</v>
      </c>
      <c r="D3" t="s">
        <v>70</v>
      </c>
      <c r="E3" t="s">
        <v>71</v>
      </c>
      <c r="F3" t="s">
        <v>71</v>
      </c>
      <c r="J3" t="s">
        <v>131</v>
      </c>
      <c r="K3" t="s">
        <v>76</v>
      </c>
      <c r="P3" t="s">
        <v>43</v>
      </c>
    </row>
    <row r="4" spans="1:17" x14ac:dyDescent="0.3">
      <c r="A4" s="9" t="s">
        <v>83</v>
      </c>
      <c r="B4" t="s">
        <v>115</v>
      </c>
      <c r="D4" t="s">
        <v>70</v>
      </c>
      <c r="E4" t="s">
        <v>71</v>
      </c>
      <c r="F4" t="s">
        <v>71</v>
      </c>
      <c r="J4" t="s">
        <v>132</v>
      </c>
      <c r="K4" t="s">
        <v>76</v>
      </c>
      <c r="P4" t="s">
        <v>43</v>
      </c>
    </row>
    <row r="5" spans="1:17" x14ac:dyDescent="0.3">
      <c r="A5" s="9" t="s">
        <v>84</v>
      </c>
      <c r="B5" t="s">
        <v>116</v>
      </c>
      <c r="D5" t="s">
        <v>70</v>
      </c>
      <c r="E5" t="s">
        <v>71</v>
      </c>
      <c r="F5" t="s">
        <v>71</v>
      </c>
      <c r="J5" t="s">
        <v>133</v>
      </c>
      <c r="K5" t="s">
        <v>76</v>
      </c>
      <c r="P5" t="s">
        <v>43</v>
      </c>
    </row>
    <row r="6" spans="1:17" x14ac:dyDescent="0.3">
      <c r="A6" s="9" t="s">
        <v>85</v>
      </c>
      <c r="B6" t="s">
        <v>117</v>
      </c>
      <c r="D6" t="s">
        <v>70</v>
      </c>
      <c r="E6" t="s">
        <v>71</v>
      </c>
      <c r="F6" t="s">
        <v>71</v>
      </c>
      <c r="J6" t="s">
        <v>134</v>
      </c>
      <c r="K6" t="s">
        <v>76</v>
      </c>
      <c r="P6" t="s">
        <v>43</v>
      </c>
    </row>
    <row r="7" spans="1:17" x14ac:dyDescent="0.3">
      <c r="A7" s="9" t="s">
        <v>86</v>
      </c>
      <c r="B7" t="s">
        <v>118</v>
      </c>
      <c r="D7" t="s">
        <v>70</v>
      </c>
      <c r="E7" t="s">
        <v>71</v>
      </c>
      <c r="F7" t="s">
        <v>71</v>
      </c>
      <c r="J7" t="s">
        <v>135</v>
      </c>
      <c r="K7" t="s">
        <v>76</v>
      </c>
      <c r="P7" t="s">
        <v>43</v>
      </c>
    </row>
    <row r="8" spans="1:17" x14ac:dyDescent="0.3">
      <c r="A8" s="9" t="s">
        <v>87</v>
      </c>
      <c r="B8" t="s">
        <v>119</v>
      </c>
      <c r="D8" t="s">
        <v>70</v>
      </c>
      <c r="E8" t="s">
        <v>71</v>
      </c>
      <c r="F8" t="s">
        <v>71</v>
      </c>
      <c r="J8" t="s">
        <v>136</v>
      </c>
      <c r="K8" t="s">
        <v>76</v>
      </c>
      <c r="P8" t="s">
        <v>43</v>
      </c>
    </row>
    <row r="9" spans="1:17" x14ac:dyDescent="0.3">
      <c r="A9" s="9" t="s">
        <v>88</v>
      </c>
      <c r="B9" t="s">
        <v>120</v>
      </c>
      <c r="D9" t="s">
        <v>70</v>
      </c>
      <c r="E9" t="s">
        <v>71</v>
      </c>
      <c r="F9" t="s">
        <v>71</v>
      </c>
      <c r="J9" t="s">
        <v>137</v>
      </c>
      <c r="K9" t="s">
        <v>76</v>
      </c>
      <c r="P9" t="s">
        <v>43</v>
      </c>
    </row>
    <row r="10" spans="1:17" x14ac:dyDescent="0.3">
      <c r="A10" s="9" t="s">
        <v>89</v>
      </c>
      <c r="B10" t="s">
        <v>121</v>
      </c>
      <c r="D10" t="s">
        <v>70</v>
      </c>
      <c r="E10" t="s">
        <v>71</v>
      </c>
      <c r="F10" t="s">
        <v>71</v>
      </c>
      <c r="J10" t="s">
        <v>138</v>
      </c>
      <c r="K10" t="s">
        <v>76</v>
      </c>
      <c r="P10" t="s">
        <v>43</v>
      </c>
    </row>
    <row r="11" spans="1:17" x14ac:dyDescent="0.3">
      <c r="A11" s="9" t="s">
        <v>90</v>
      </c>
      <c r="B11" t="s">
        <v>122</v>
      </c>
      <c r="D11" t="s">
        <v>70</v>
      </c>
      <c r="E11" t="s">
        <v>71</v>
      </c>
      <c r="F11" t="s">
        <v>71</v>
      </c>
      <c r="J11" t="s">
        <v>139</v>
      </c>
      <c r="K11" t="s">
        <v>76</v>
      </c>
      <c r="P11" t="s">
        <v>43</v>
      </c>
    </row>
    <row r="12" spans="1:17" x14ac:dyDescent="0.3">
      <c r="A12" s="9" t="s">
        <v>91</v>
      </c>
      <c r="B12" t="s">
        <v>114</v>
      </c>
      <c r="D12" t="s">
        <v>70</v>
      </c>
      <c r="E12" t="s">
        <v>71</v>
      </c>
      <c r="F12" t="s">
        <v>71</v>
      </c>
      <c r="J12" t="s">
        <v>140</v>
      </c>
      <c r="K12" t="s">
        <v>76</v>
      </c>
      <c r="P12" t="s">
        <v>43</v>
      </c>
    </row>
    <row r="13" spans="1:17" x14ac:dyDescent="0.3">
      <c r="A13" s="9" t="s">
        <v>92</v>
      </c>
      <c r="B13" t="s">
        <v>114</v>
      </c>
      <c r="D13" t="s">
        <v>70</v>
      </c>
      <c r="E13" t="s">
        <v>71</v>
      </c>
      <c r="F13" t="s">
        <v>71</v>
      </c>
      <c r="J13" t="s">
        <v>141</v>
      </c>
      <c r="K13" t="s">
        <v>76</v>
      </c>
      <c r="P13" t="s">
        <v>43</v>
      </c>
    </row>
    <row r="14" spans="1:17" x14ac:dyDescent="0.3">
      <c r="A14" s="9" t="s">
        <v>93</v>
      </c>
      <c r="B14" t="s">
        <v>116</v>
      </c>
      <c r="D14" t="s">
        <v>70</v>
      </c>
      <c r="E14" t="s">
        <v>71</v>
      </c>
      <c r="F14" t="s">
        <v>71</v>
      </c>
      <c r="J14" t="s">
        <v>142</v>
      </c>
      <c r="K14" t="s">
        <v>76</v>
      </c>
      <c r="P14" t="s">
        <v>43</v>
      </c>
    </row>
    <row r="15" spans="1:17" x14ac:dyDescent="0.3">
      <c r="A15" s="9" t="s">
        <v>94</v>
      </c>
      <c r="B15" t="s">
        <v>123</v>
      </c>
      <c r="D15" t="s">
        <v>70</v>
      </c>
      <c r="E15" t="s">
        <v>71</v>
      </c>
      <c r="F15" t="s">
        <v>71</v>
      </c>
      <c r="J15" t="s">
        <v>143</v>
      </c>
      <c r="K15" t="s">
        <v>76</v>
      </c>
      <c r="P15" t="s">
        <v>43</v>
      </c>
    </row>
    <row r="16" spans="1:17" x14ac:dyDescent="0.3">
      <c r="A16" s="9" t="s">
        <v>95</v>
      </c>
      <c r="B16" t="s">
        <v>118</v>
      </c>
      <c r="D16" t="s">
        <v>70</v>
      </c>
      <c r="E16" t="s">
        <v>71</v>
      </c>
      <c r="F16" t="s">
        <v>71</v>
      </c>
      <c r="J16" t="s">
        <v>144</v>
      </c>
      <c r="K16" t="s">
        <v>76</v>
      </c>
      <c r="P16" t="s">
        <v>43</v>
      </c>
    </row>
    <row r="17" spans="1:16" x14ac:dyDescent="0.3">
      <c r="A17" s="9" t="s">
        <v>96</v>
      </c>
      <c r="B17" t="s">
        <v>121</v>
      </c>
      <c r="D17" t="s">
        <v>70</v>
      </c>
      <c r="E17" t="s">
        <v>71</v>
      </c>
      <c r="F17" t="s">
        <v>71</v>
      </c>
      <c r="J17" t="s">
        <v>145</v>
      </c>
      <c r="K17" t="s">
        <v>76</v>
      </c>
      <c r="P17" t="s">
        <v>43</v>
      </c>
    </row>
    <row r="18" spans="1:16" x14ac:dyDescent="0.3">
      <c r="A18" s="9" t="s">
        <v>97</v>
      </c>
      <c r="B18" t="s">
        <v>124</v>
      </c>
      <c r="D18" t="s">
        <v>70</v>
      </c>
      <c r="G18" t="s">
        <v>71</v>
      </c>
      <c r="J18" t="s">
        <v>146</v>
      </c>
      <c r="K18" t="s">
        <v>76</v>
      </c>
      <c r="P18" t="s">
        <v>43</v>
      </c>
    </row>
    <row r="19" spans="1:16" x14ac:dyDescent="0.3">
      <c r="A19" s="9" t="s">
        <v>98</v>
      </c>
      <c r="B19" t="s">
        <v>125</v>
      </c>
      <c r="D19" t="s">
        <v>70</v>
      </c>
      <c r="H19" t="s">
        <v>71</v>
      </c>
      <c r="J19" t="s">
        <v>147</v>
      </c>
      <c r="P19" t="s">
        <v>43</v>
      </c>
    </row>
    <row r="20" spans="1:16" x14ac:dyDescent="0.3">
      <c r="A20" s="9" t="s">
        <v>99</v>
      </c>
      <c r="B20" t="s">
        <v>126</v>
      </c>
      <c r="D20" t="s">
        <v>70</v>
      </c>
      <c r="H20" t="s">
        <v>71</v>
      </c>
      <c r="J20" t="s">
        <v>148</v>
      </c>
      <c r="P20" t="s">
        <v>43</v>
      </c>
    </row>
    <row r="21" spans="1:16" x14ac:dyDescent="0.3">
      <c r="A21" s="9" t="s">
        <v>100</v>
      </c>
      <c r="B21" t="s">
        <v>125</v>
      </c>
      <c r="D21" t="s">
        <v>70</v>
      </c>
      <c r="H21" t="s">
        <v>71</v>
      </c>
      <c r="J21" t="s">
        <v>149</v>
      </c>
      <c r="P21" t="s">
        <v>43</v>
      </c>
    </row>
    <row r="22" spans="1:16" x14ac:dyDescent="0.3">
      <c r="A22" s="9" t="s">
        <v>101</v>
      </c>
      <c r="B22" t="s">
        <v>125</v>
      </c>
      <c r="D22" t="s">
        <v>70</v>
      </c>
      <c r="H22" t="s">
        <v>71</v>
      </c>
      <c r="J22" t="s">
        <v>150</v>
      </c>
      <c r="P22" t="s">
        <v>43</v>
      </c>
    </row>
    <row r="23" spans="1:16" x14ac:dyDescent="0.3">
      <c r="A23" s="10" t="s">
        <v>102</v>
      </c>
      <c r="B23" t="s">
        <v>127</v>
      </c>
      <c r="D23" t="s">
        <v>70</v>
      </c>
      <c r="I23" t="s">
        <v>71</v>
      </c>
      <c r="J23" t="s">
        <v>151</v>
      </c>
      <c r="K23" t="s">
        <v>77</v>
      </c>
      <c r="L23" t="s">
        <v>163</v>
      </c>
      <c r="M23" t="s">
        <v>81</v>
      </c>
      <c r="P23" t="s">
        <v>43</v>
      </c>
    </row>
    <row r="24" spans="1:16" x14ac:dyDescent="0.3">
      <c r="A24" s="10" t="s">
        <v>103</v>
      </c>
      <c r="B24" t="s">
        <v>127</v>
      </c>
      <c r="D24" t="s">
        <v>70</v>
      </c>
      <c r="I24" t="s">
        <v>71</v>
      </c>
      <c r="J24" t="s">
        <v>152</v>
      </c>
      <c r="K24" t="s">
        <v>77</v>
      </c>
      <c r="L24" t="s">
        <v>164</v>
      </c>
      <c r="M24" t="s">
        <v>81</v>
      </c>
      <c r="P24" t="s">
        <v>43</v>
      </c>
    </row>
    <row r="25" spans="1:16" x14ac:dyDescent="0.3">
      <c r="A25" s="9" t="s">
        <v>104</v>
      </c>
      <c r="B25" t="s">
        <v>128</v>
      </c>
      <c r="D25" t="s">
        <v>70</v>
      </c>
      <c r="I25" t="s">
        <v>71</v>
      </c>
      <c r="J25" t="s">
        <v>153</v>
      </c>
      <c r="P25" t="s">
        <v>43</v>
      </c>
    </row>
    <row r="26" spans="1:16" x14ac:dyDescent="0.3">
      <c r="A26" s="10" t="s">
        <v>105</v>
      </c>
      <c r="B26" t="s">
        <v>129</v>
      </c>
      <c r="D26" t="s">
        <v>70</v>
      </c>
      <c r="I26" t="s">
        <v>71</v>
      </c>
      <c r="J26" t="s">
        <v>154</v>
      </c>
      <c r="K26" t="s">
        <v>77</v>
      </c>
      <c r="L26" t="s">
        <v>165</v>
      </c>
      <c r="M26" t="s">
        <v>81</v>
      </c>
      <c r="P26" t="s">
        <v>43</v>
      </c>
    </row>
    <row r="27" spans="1:16" x14ac:dyDescent="0.3">
      <c r="A27" s="10" t="s">
        <v>106</v>
      </c>
      <c r="B27" t="s">
        <v>130</v>
      </c>
      <c r="D27" t="s">
        <v>70</v>
      </c>
      <c r="I27" t="s">
        <v>71</v>
      </c>
      <c r="J27" t="s">
        <v>155</v>
      </c>
      <c r="K27" t="s">
        <v>77</v>
      </c>
      <c r="L27" t="s">
        <v>166</v>
      </c>
      <c r="M27" t="s">
        <v>174</v>
      </c>
      <c r="P27" t="s">
        <v>43</v>
      </c>
    </row>
    <row r="28" spans="1:16" x14ac:dyDescent="0.3">
      <c r="A28" s="10" t="s">
        <v>107</v>
      </c>
      <c r="B28" t="s">
        <v>129</v>
      </c>
      <c r="D28" t="s">
        <v>70</v>
      </c>
      <c r="I28" t="s">
        <v>71</v>
      </c>
      <c r="J28" t="s">
        <v>156</v>
      </c>
      <c r="K28" t="s">
        <v>77</v>
      </c>
      <c r="L28" t="s">
        <v>167</v>
      </c>
      <c r="M28" t="s">
        <v>81</v>
      </c>
      <c r="P28" t="s">
        <v>43</v>
      </c>
    </row>
    <row r="29" spans="1:16" x14ac:dyDescent="0.3">
      <c r="A29" s="10" t="s">
        <v>108</v>
      </c>
      <c r="B29" t="s">
        <v>127</v>
      </c>
      <c r="D29" t="s">
        <v>70</v>
      </c>
      <c r="I29" t="s">
        <v>71</v>
      </c>
      <c r="J29" t="s">
        <v>157</v>
      </c>
      <c r="K29" t="s">
        <v>77</v>
      </c>
      <c r="L29" t="s">
        <v>168</v>
      </c>
      <c r="M29" t="s">
        <v>81</v>
      </c>
      <c r="P29" t="s">
        <v>43</v>
      </c>
    </row>
    <row r="30" spans="1:16" x14ac:dyDescent="0.3">
      <c r="A30" s="10" t="s">
        <v>109</v>
      </c>
      <c r="B30" t="s">
        <v>126</v>
      </c>
      <c r="D30" t="s">
        <v>70</v>
      </c>
      <c r="I30" t="s">
        <v>71</v>
      </c>
      <c r="J30" t="s">
        <v>158</v>
      </c>
      <c r="K30" t="s">
        <v>77</v>
      </c>
      <c r="L30" t="s">
        <v>169</v>
      </c>
      <c r="M30" t="s">
        <v>81</v>
      </c>
      <c r="P30" t="s">
        <v>43</v>
      </c>
    </row>
    <row r="31" spans="1:16" x14ac:dyDescent="0.3">
      <c r="A31" s="10" t="s">
        <v>110</v>
      </c>
      <c r="B31" t="s">
        <v>129</v>
      </c>
      <c r="D31" t="s">
        <v>70</v>
      </c>
      <c r="I31" t="s">
        <v>71</v>
      </c>
      <c r="J31" t="s">
        <v>159</v>
      </c>
      <c r="K31" t="s">
        <v>77</v>
      </c>
      <c r="L31" t="s">
        <v>170</v>
      </c>
      <c r="M31" t="s">
        <v>81</v>
      </c>
      <c r="P31" t="s">
        <v>43</v>
      </c>
    </row>
    <row r="32" spans="1:16" x14ac:dyDescent="0.3">
      <c r="A32" s="10" t="s">
        <v>111</v>
      </c>
      <c r="B32" t="s">
        <v>127</v>
      </c>
      <c r="D32" t="s">
        <v>70</v>
      </c>
      <c r="I32" t="s">
        <v>71</v>
      </c>
      <c r="J32" t="s">
        <v>160</v>
      </c>
      <c r="K32" t="s">
        <v>77</v>
      </c>
      <c r="L32" t="s">
        <v>171</v>
      </c>
      <c r="M32" t="s">
        <v>81</v>
      </c>
      <c r="P32" t="s">
        <v>43</v>
      </c>
    </row>
    <row r="33" spans="1:16" x14ac:dyDescent="0.3">
      <c r="A33" s="10" t="s">
        <v>112</v>
      </c>
      <c r="B33" t="s">
        <v>127</v>
      </c>
      <c r="D33" t="s">
        <v>70</v>
      </c>
      <c r="I33" t="s">
        <v>71</v>
      </c>
      <c r="J33" t="s">
        <v>161</v>
      </c>
      <c r="K33" t="s">
        <v>77</v>
      </c>
      <c r="L33" t="s">
        <v>172</v>
      </c>
      <c r="M33" t="s">
        <v>81</v>
      </c>
      <c r="P33" t="s">
        <v>43</v>
      </c>
    </row>
    <row r="34" spans="1:16" x14ac:dyDescent="0.3">
      <c r="A34" s="10" t="s">
        <v>113</v>
      </c>
      <c r="B34" t="s">
        <v>126</v>
      </c>
      <c r="D34" t="s">
        <v>70</v>
      </c>
      <c r="I34" t="s">
        <v>71</v>
      </c>
      <c r="J34" t="s">
        <v>162</v>
      </c>
      <c r="K34" t="s">
        <v>77</v>
      </c>
      <c r="L34" t="s">
        <v>173</v>
      </c>
      <c r="M34" t="s">
        <v>81</v>
      </c>
      <c r="P34" t="s">
        <v>43</v>
      </c>
    </row>
  </sheetData>
  <mergeCells count="13">
    <mergeCell ref="O1:O2"/>
    <mergeCell ref="P1:P2"/>
    <mergeCell ref="Q1:Q2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E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C8918"/>
  </sheetPr>
  <dimension ref="A1:O16"/>
  <sheetViews>
    <sheetView workbookViewId="0"/>
  </sheetViews>
  <sheetFormatPr defaultRowHeight="13.8" x14ac:dyDescent="0.3"/>
  <cols>
    <col min="1" max="1" width="79.6640625" customWidth="1"/>
    <col min="2" max="2" width="23.6640625" customWidth="1"/>
    <col min="3" max="3" width="11.6640625" customWidth="1"/>
    <col min="4" max="4" width="18.6640625" customWidth="1"/>
    <col min="5" max="6" width="7.6640625" customWidth="1"/>
    <col min="7" max="7" width="14.6640625" customWidth="1"/>
    <col min="8" max="8" width="44.6640625" customWidth="1"/>
    <col min="9" max="9" width="16.6640625" customWidth="1"/>
    <col min="10" max="10" width="44.6640625" customWidth="1"/>
    <col min="11" max="11" width="27.6640625" customWidth="1"/>
    <col min="12" max="12" width="22.6640625" customWidth="1"/>
    <col min="13" max="13" width="26.6640625" customWidth="1"/>
    <col min="14" max="14" width="11.6640625" customWidth="1"/>
    <col min="15" max="15" width="12.6640625" customWidth="1"/>
  </cols>
  <sheetData>
    <row r="1" spans="1:15" x14ac:dyDescent="0.3">
      <c r="A1" s="11" t="s">
        <v>52</v>
      </c>
      <c r="B1" s="11" t="s">
        <v>53</v>
      </c>
      <c r="C1" s="11" t="s">
        <v>54</v>
      </c>
      <c r="D1" s="11" t="s">
        <v>55</v>
      </c>
      <c r="E1" s="11" t="s">
        <v>56</v>
      </c>
      <c r="F1" s="11"/>
      <c r="G1" s="11"/>
      <c r="H1" s="11" t="s">
        <v>57</v>
      </c>
      <c r="I1" s="11" t="s">
        <v>58</v>
      </c>
      <c r="J1" s="11" t="s">
        <v>59</v>
      </c>
      <c r="K1" s="11" t="s">
        <v>60</v>
      </c>
      <c r="L1" s="11" t="s">
        <v>61</v>
      </c>
      <c r="M1" s="11" t="s">
        <v>62</v>
      </c>
      <c r="N1" s="11" t="s">
        <v>3</v>
      </c>
      <c r="O1" s="11" t="s">
        <v>17</v>
      </c>
    </row>
    <row r="2" spans="1:15" x14ac:dyDescent="0.3">
      <c r="A2" s="11"/>
      <c r="B2" s="11"/>
      <c r="C2" s="11"/>
      <c r="D2" s="11"/>
      <c r="E2" s="1" t="s">
        <v>12</v>
      </c>
      <c r="F2" s="1" t="s">
        <v>15</v>
      </c>
      <c r="G2" s="1" t="s">
        <v>16</v>
      </c>
      <c r="H2" s="11"/>
      <c r="I2" s="11"/>
      <c r="J2" s="11"/>
      <c r="K2" s="11"/>
      <c r="L2" s="11"/>
      <c r="M2" s="11"/>
      <c r="N2" s="11"/>
      <c r="O2" s="11"/>
    </row>
    <row r="3" spans="1:15" x14ac:dyDescent="0.3">
      <c r="A3" s="10" t="s">
        <v>175</v>
      </c>
      <c r="B3" t="s">
        <v>189</v>
      </c>
      <c r="D3" t="s">
        <v>70</v>
      </c>
      <c r="E3" t="s">
        <v>71</v>
      </c>
      <c r="F3" t="s">
        <v>71</v>
      </c>
      <c r="H3" t="s">
        <v>197</v>
      </c>
      <c r="I3" t="s">
        <v>77</v>
      </c>
      <c r="J3" t="s">
        <v>211</v>
      </c>
      <c r="K3" t="s">
        <v>81</v>
      </c>
      <c r="N3" t="s">
        <v>35</v>
      </c>
    </row>
    <row r="4" spans="1:15" x14ac:dyDescent="0.3">
      <c r="A4" s="9" t="s">
        <v>176</v>
      </c>
      <c r="B4" t="s">
        <v>189</v>
      </c>
      <c r="D4" t="s">
        <v>70</v>
      </c>
      <c r="E4" t="s">
        <v>71</v>
      </c>
      <c r="F4" t="s">
        <v>71</v>
      </c>
      <c r="H4" t="s">
        <v>198</v>
      </c>
      <c r="I4" t="s">
        <v>76</v>
      </c>
      <c r="N4" t="s">
        <v>35</v>
      </c>
    </row>
    <row r="5" spans="1:15" x14ac:dyDescent="0.3">
      <c r="A5" s="9" t="s">
        <v>177</v>
      </c>
      <c r="B5" t="s">
        <v>190</v>
      </c>
      <c r="D5" t="s">
        <v>70</v>
      </c>
      <c r="G5" t="s">
        <v>71</v>
      </c>
      <c r="H5" t="s">
        <v>199</v>
      </c>
      <c r="I5" t="s">
        <v>76</v>
      </c>
      <c r="N5" t="s">
        <v>35</v>
      </c>
    </row>
    <row r="6" spans="1:15" x14ac:dyDescent="0.3">
      <c r="A6" s="9" t="s">
        <v>178</v>
      </c>
      <c r="B6" t="s">
        <v>191</v>
      </c>
      <c r="D6" t="s">
        <v>70</v>
      </c>
      <c r="G6" t="s">
        <v>71</v>
      </c>
      <c r="H6" t="s">
        <v>200</v>
      </c>
      <c r="I6" t="s">
        <v>76</v>
      </c>
      <c r="N6" t="s">
        <v>35</v>
      </c>
    </row>
    <row r="7" spans="1:15" x14ac:dyDescent="0.3">
      <c r="A7" s="9" t="s">
        <v>179</v>
      </c>
      <c r="B7" t="s">
        <v>192</v>
      </c>
      <c r="D7" t="s">
        <v>70</v>
      </c>
      <c r="G7" t="s">
        <v>71</v>
      </c>
      <c r="H7" t="s">
        <v>201</v>
      </c>
      <c r="I7" t="s">
        <v>76</v>
      </c>
      <c r="N7" t="s">
        <v>35</v>
      </c>
    </row>
    <row r="8" spans="1:15" x14ac:dyDescent="0.3">
      <c r="A8" s="9" t="s">
        <v>180</v>
      </c>
      <c r="B8" t="s">
        <v>193</v>
      </c>
      <c r="D8" t="s">
        <v>70</v>
      </c>
      <c r="G8" t="s">
        <v>71</v>
      </c>
      <c r="H8" t="s">
        <v>202</v>
      </c>
      <c r="I8" t="s">
        <v>76</v>
      </c>
      <c r="L8" t="s">
        <v>214</v>
      </c>
      <c r="M8" t="s">
        <v>215</v>
      </c>
      <c r="N8" t="s">
        <v>35</v>
      </c>
    </row>
    <row r="9" spans="1:15" x14ac:dyDescent="0.3">
      <c r="A9" s="10" t="s">
        <v>181</v>
      </c>
      <c r="B9" t="s">
        <v>194</v>
      </c>
      <c r="D9" t="s">
        <v>70</v>
      </c>
      <c r="G9" t="s">
        <v>71</v>
      </c>
      <c r="H9" t="s">
        <v>203</v>
      </c>
      <c r="I9" t="s">
        <v>77</v>
      </c>
      <c r="J9" t="s">
        <v>212</v>
      </c>
      <c r="K9" t="s">
        <v>81</v>
      </c>
      <c r="N9" t="s">
        <v>35</v>
      </c>
    </row>
    <row r="10" spans="1:15" x14ac:dyDescent="0.3">
      <c r="A10" s="9" t="s">
        <v>182</v>
      </c>
      <c r="B10" t="s">
        <v>193</v>
      </c>
      <c r="D10" t="s">
        <v>70</v>
      </c>
      <c r="G10" t="s">
        <v>71</v>
      </c>
      <c r="H10" t="s">
        <v>204</v>
      </c>
      <c r="I10" t="s">
        <v>76</v>
      </c>
      <c r="L10" t="s">
        <v>214</v>
      </c>
      <c r="M10" t="s">
        <v>215</v>
      </c>
      <c r="N10" t="s">
        <v>35</v>
      </c>
    </row>
    <row r="11" spans="1:15" x14ac:dyDescent="0.3">
      <c r="A11" s="9" t="s">
        <v>183</v>
      </c>
      <c r="B11" t="s">
        <v>195</v>
      </c>
      <c r="D11" t="s">
        <v>70</v>
      </c>
      <c r="G11" t="s">
        <v>71</v>
      </c>
      <c r="H11" t="s">
        <v>205</v>
      </c>
      <c r="I11" t="s">
        <v>76</v>
      </c>
      <c r="N11" t="s">
        <v>35</v>
      </c>
    </row>
    <row r="12" spans="1:15" x14ac:dyDescent="0.3">
      <c r="A12" s="9" t="s">
        <v>184</v>
      </c>
      <c r="B12" t="s">
        <v>194</v>
      </c>
      <c r="D12" t="s">
        <v>70</v>
      </c>
      <c r="G12" t="s">
        <v>71</v>
      </c>
      <c r="H12" t="s">
        <v>206</v>
      </c>
      <c r="I12" t="s">
        <v>76</v>
      </c>
      <c r="N12" t="s">
        <v>35</v>
      </c>
    </row>
    <row r="13" spans="1:15" x14ac:dyDescent="0.3">
      <c r="A13" s="9" t="s">
        <v>185</v>
      </c>
      <c r="B13" t="s">
        <v>196</v>
      </c>
      <c r="D13" t="s">
        <v>70</v>
      </c>
      <c r="G13" t="s">
        <v>71</v>
      </c>
      <c r="H13" t="s">
        <v>207</v>
      </c>
      <c r="I13" t="s">
        <v>76</v>
      </c>
      <c r="N13" t="s">
        <v>35</v>
      </c>
    </row>
    <row r="14" spans="1:15" x14ac:dyDescent="0.3">
      <c r="A14" s="9" t="s">
        <v>186</v>
      </c>
      <c r="B14" t="s">
        <v>196</v>
      </c>
      <c r="D14" t="s">
        <v>70</v>
      </c>
      <c r="G14" t="s">
        <v>71</v>
      </c>
      <c r="H14" t="s">
        <v>208</v>
      </c>
      <c r="I14" t="s">
        <v>76</v>
      </c>
      <c r="N14" t="s">
        <v>35</v>
      </c>
    </row>
    <row r="15" spans="1:15" x14ac:dyDescent="0.3">
      <c r="A15" s="9" t="s">
        <v>187</v>
      </c>
      <c r="B15" t="s">
        <v>192</v>
      </c>
      <c r="D15" t="s">
        <v>70</v>
      </c>
      <c r="G15" t="s">
        <v>71</v>
      </c>
      <c r="H15" t="s">
        <v>209</v>
      </c>
      <c r="I15" t="s">
        <v>76</v>
      </c>
      <c r="N15" t="s">
        <v>35</v>
      </c>
    </row>
    <row r="16" spans="1:15" x14ac:dyDescent="0.3">
      <c r="A16" s="10" t="s">
        <v>188</v>
      </c>
      <c r="B16" t="s">
        <v>194</v>
      </c>
      <c r="D16" t="s">
        <v>70</v>
      </c>
      <c r="G16" t="s">
        <v>71</v>
      </c>
      <c r="H16" t="s">
        <v>210</v>
      </c>
      <c r="I16" t="s">
        <v>77</v>
      </c>
      <c r="J16" t="s">
        <v>213</v>
      </c>
      <c r="K16" t="s">
        <v>81</v>
      </c>
      <c r="N16" t="s">
        <v>35</v>
      </c>
    </row>
  </sheetData>
  <mergeCells count="13">
    <mergeCell ref="M1:M2"/>
    <mergeCell ref="N1:N2"/>
    <mergeCell ref="O1:O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C8918"/>
  </sheetPr>
  <dimension ref="A1:M3"/>
  <sheetViews>
    <sheetView workbookViewId="0"/>
  </sheetViews>
  <sheetFormatPr defaultRowHeight="13.8" x14ac:dyDescent="0.3"/>
  <cols>
    <col min="1" max="1" width="78.6640625" customWidth="1"/>
    <col min="2" max="2" width="23.6640625" customWidth="1"/>
    <col min="3" max="3" width="11.6640625" customWidth="1"/>
    <col min="4" max="4" width="18.6640625" customWidth="1"/>
    <col min="5" max="5" width="7.6640625" customWidth="1"/>
    <col min="6" max="6" width="44.6640625" customWidth="1"/>
    <col min="7" max="7" width="11.6640625" customWidth="1"/>
    <col min="8" max="8" width="19.6640625" customWidth="1"/>
    <col min="9" max="9" width="27.6640625" customWidth="1"/>
    <col min="10" max="10" width="22.6640625" customWidth="1"/>
    <col min="11" max="11" width="26.6640625" customWidth="1"/>
    <col min="12" max="12" width="11.6640625" customWidth="1"/>
    <col min="13" max="13" width="12.6640625" customWidth="1"/>
  </cols>
  <sheetData>
    <row r="1" spans="1:13" x14ac:dyDescent="0.3">
      <c r="A1" s="11" t="s">
        <v>52</v>
      </c>
      <c r="B1" s="11" t="s">
        <v>53</v>
      </c>
      <c r="C1" s="11" t="s">
        <v>54</v>
      </c>
      <c r="D1" s="11" t="s">
        <v>55</v>
      </c>
      <c r="E1" s="1" t="s">
        <v>56</v>
      </c>
      <c r="F1" s="11" t="s">
        <v>57</v>
      </c>
      <c r="G1" s="11" t="s">
        <v>58</v>
      </c>
      <c r="H1" s="11" t="s">
        <v>59</v>
      </c>
      <c r="I1" s="11" t="s">
        <v>60</v>
      </c>
      <c r="J1" s="11" t="s">
        <v>61</v>
      </c>
      <c r="K1" s="11" t="s">
        <v>62</v>
      </c>
      <c r="L1" s="11" t="s">
        <v>3</v>
      </c>
      <c r="M1" s="11" t="s">
        <v>17</v>
      </c>
    </row>
    <row r="2" spans="1:13" x14ac:dyDescent="0.3">
      <c r="A2" s="11"/>
      <c r="B2" s="11"/>
      <c r="C2" s="11"/>
      <c r="D2" s="11"/>
      <c r="E2" s="1" t="s">
        <v>15</v>
      </c>
      <c r="F2" s="11"/>
      <c r="G2" s="11"/>
      <c r="H2" s="11"/>
      <c r="I2" s="11"/>
      <c r="J2" s="11"/>
      <c r="K2" s="11"/>
      <c r="L2" s="11"/>
      <c r="M2" s="11"/>
    </row>
    <row r="3" spans="1:13" x14ac:dyDescent="0.3">
      <c r="A3" s="9" t="s">
        <v>216</v>
      </c>
      <c r="B3" t="s">
        <v>217</v>
      </c>
      <c r="D3" t="s">
        <v>70</v>
      </c>
      <c r="E3" t="s">
        <v>71</v>
      </c>
      <c r="F3" t="s">
        <v>218</v>
      </c>
      <c r="G3" t="s">
        <v>219</v>
      </c>
      <c r="L3" t="s">
        <v>32</v>
      </c>
    </row>
  </sheetData>
  <mergeCells count="12">
    <mergeCell ref="L1:L2"/>
    <mergeCell ref="M1:M2"/>
    <mergeCell ref="G1:G2"/>
    <mergeCell ref="H1:H2"/>
    <mergeCell ref="I1:I2"/>
    <mergeCell ref="J1:J2"/>
    <mergeCell ref="K1:K2"/>
    <mergeCell ref="A1:A2"/>
    <mergeCell ref="B1:B2"/>
    <mergeCell ref="C1:C2"/>
    <mergeCell ref="D1:D2"/>
    <mergeCell ref="F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C8918"/>
  </sheetPr>
  <dimension ref="A1:M3"/>
  <sheetViews>
    <sheetView workbookViewId="0"/>
  </sheetViews>
  <sheetFormatPr defaultRowHeight="13.8" x14ac:dyDescent="0.3"/>
  <cols>
    <col min="1" max="1" width="58.6640625" customWidth="1"/>
    <col min="2" max="2" width="23.6640625" customWidth="1"/>
    <col min="3" max="3" width="11.6640625" customWidth="1"/>
    <col min="4" max="4" width="18.6640625" customWidth="1"/>
    <col min="5" max="5" width="7.6640625" customWidth="1"/>
    <col min="6" max="6" width="44.6640625" customWidth="1"/>
    <col min="7" max="7" width="16.6640625" customWidth="1"/>
    <col min="8" max="8" width="19.6640625" customWidth="1"/>
    <col min="9" max="9" width="27.6640625" customWidth="1"/>
    <col min="10" max="10" width="22.6640625" customWidth="1"/>
    <col min="11" max="11" width="26.6640625" customWidth="1"/>
    <col min="12" max="12" width="11.6640625" customWidth="1"/>
    <col min="13" max="13" width="12.6640625" customWidth="1"/>
  </cols>
  <sheetData>
    <row r="1" spans="1:13" x14ac:dyDescent="0.3">
      <c r="A1" s="11" t="s">
        <v>52</v>
      </c>
      <c r="B1" s="11" t="s">
        <v>53</v>
      </c>
      <c r="C1" s="11" t="s">
        <v>54</v>
      </c>
      <c r="D1" s="11" t="s">
        <v>55</v>
      </c>
      <c r="E1" s="1" t="s">
        <v>56</v>
      </c>
      <c r="F1" s="11" t="s">
        <v>57</v>
      </c>
      <c r="G1" s="11" t="s">
        <v>58</v>
      </c>
      <c r="H1" s="11" t="s">
        <v>59</v>
      </c>
      <c r="I1" s="11" t="s">
        <v>60</v>
      </c>
      <c r="J1" s="11" t="s">
        <v>61</v>
      </c>
      <c r="K1" s="11" t="s">
        <v>62</v>
      </c>
      <c r="L1" s="11" t="s">
        <v>3</v>
      </c>
      <c r="M1" s="11" t="s">
        <v>17</v>
      </c>
    </row>
    <row r="2" spans="1:13" x14ac:dyDescent="0.3">
      <c r="A2" s="11"/>
      <c r="B2" s="11"/>
      <c r="C2" s="11"/>
      <c r="D2" s="11"/>
      <c r="E2" s="1" t="s">
        <v>15</v>
      </c>
      <c r="F2" s="11"/>
      <c r="G2" s="11"/>
      <c r="H2" s="11"/>
      <c r="I2" s="11"/>
      <c r="J2" s="11"/>
      <c r="K2" s="11"/>
      <c r="L2" s="11"/>
      <c r="M2" s="11"/>
    </row>
    <row r="3" spans="1:13" x14ac:dyDescent="0.3">
      <c r="A3" s="9" t="s">
        <v>220</v>
      </c>
      <c r="B3" t="s">
        <v>221</v>
      </c>
      <c r="D3" t="s">
        <v>70</v>
      </c>
      <c r="E3" t="s">
        <v>71</v>
      </c>
      <c r="F3" t="s">
        <v>222</v>
      </c>
      <c r="G3" t="s">
        <v>76</v>
      </c>
      <c r="L3" t="s">
        <v>223</v>
      </c>
    </row>
  </sheetData>
  <mergeCells count="12">
    <mergeCell ref="L1:L2"/>
    <mergeCell ref="M1:M2"/>
    <mergeCell ref="G1:G2"/>
    <mergeCell ref="H1:H2"/>
    <mergeCell ref="I1:I2"/>
    <mergeCell ref="J1:J2"/>
    <mergeCell ref="K1:K2"/>
    <mergeCell ref="A1:A2"/>
    <mergeCell ref="B1:B2"/>
    <mergeCell ref="C1:C2"/>
    <mergeCell ref="D1:D2"/>
    <mergeCell ref="F1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C8918"/>
  </sheetPr>
  <dimension ref="A1:M47"/>
  <sheetViews>
    <sheetView workbookViewId="0"/>
  </sheetViews>
  <sheetFormatPr defaultRowHeight="13.8" x14ac:dyDescent="0.3"/>
  <cols>
    <col min="1" max="1" width="79.6640625" customWidth="1"/>
    <col min="2" max="2" width="23.6640625" customWidth="1"/>
    <col min="3" max="3" width="11.6640625" customWidth="1"/>
    <col min="4" max="4" width="18.6640625" customWidth="1"/>
    <col min="5" max="5" width="7.6640625" customWidth="1"/>
    <col min="6" max="6" width="44.6640625" customWidth="1"/>
    <col min="7" max="7" width="16.6640625" customWidth="1"/>
    <col min="8" max="8" width="44.6640625" customWidth="1"/>
    <col min="9" max="9" width="27.6640625" customWidth="1"/>
    <col min="10" max="10" width="22.6640625" customWidth="1"/>
    <col min="11" max="11" width="26.6640625" customWidth="1"/>
    <col min="12" max="12" width="11.6640625" customWidth="1"/>
    <col min="13" max="13" width="12.6640625" customWidth="1"/>
  </cols>
  <sheetData>
    <row r="1" spans="1:13" x14ac:dyDescent="0.3">
      <c r="A1" s="11" t="s">
        <v>52</v>
      </c>
      <c r="B1" s="11" t="s">
        <v>53</v>
      </c>
      <c r="C1" s="11" t="s">
        <v>54</v>
      </c>
      <c r="D1" s="11" t="s">
        <v>55</v>
      </c>
      <c r="E1" s="1" t="s">
        <v>56</v>
      </c>
      <c r="F1" s="11" t="s">
        <v>57</v>
      </c>
      <c r="G1" s="11" t="s">
        <v>58</v>
      </c>
      <c r="H1" s="11" t="s">
        <v>59</v>
      </c>
      <c r="I1" s="11" t="s">
        <v>60</v>
      </c>
      <c r="J1" s="11" t="s">
        <v>61</v>
      </c>
      <c r="K1" s="11" t="s">
        <v>62</v>
      </c>
      <c r="L1" s="11" t="s">
        <v>3</v>
      </c>
      <c r="M1" s="11" t="s">
        <v>17</v>
      </c>
    </row>
    <row r="2" spans="1:13" x14ac:dyDescent="0.3">
      <c r="A2" s="11"/>
      <c r="B2" s="11"/>
      <c r="C2" s="11"/>
      <c r="D2" s="11"/>
      <c r="E2" s="1" t="s">
        <v>15</v>
      </c>
      <c r="F2" s="11"/>
      <c r="G2" s="11"/>
      <c r="H2" s="11"/>
      <c r="I2" s="11"/>
      <c r="J2" s="11"/>
      <c r="K2" s="11"/>
      <c r="L2" s="11"/>
      <c r="M2" s="11"/>
    </row>
    <row r="3" spans="1:13" x14ac:dyDescent="0.3">
      <c r="A3" s="9" t="s">
        <v>224</v>
      </c>
      <c r="B3" t="s">
        <v>269</v>
      </c>
      <c r="D3" t="s">
        <v>70</v>
      </c>
      <c r="E3" t="s">
        <v>71</v>
      </c>
      <c r="F3" t="s">
        <v>278</v>
      </c>
      <c r="G3" t="s">
        <v>76</v>
      </c>
      <c r="L3" t="s">
        <v>37</v>
      </c>
    </row>
    <row r="4" spans="1:13" x14ac:dyDescent="0.3">
      <c r="A4" s="9" t="s">
        <v>225</v>
      </c>
      <c r="B4" t="s">
        <v>269</v>
      </c>
      <c r="D4" t="s">
        <v>70</v>
      </c>
      <c r="E4" t="s">
        <v>71</v>
      </c>
      <c r="F4" t="s">
        <v>279</v>
      </c>
      <c r="G4" t="s">
        <v>76</v>
      </c>
      <c r="L4" t="s">
        <v>37</v>
      </c>
    </row>
    <row r="5" spans="1:13" x14ac:dyDescent="0.3">
      <c r="A5" s="10" t="s">
        <v>226</v>
      </c>
      <c r="B5" t="s">
        <v>269</v>
      </c>
      <c r="D5" t="s">
        <v>70</v>
      </c>
      <c r="E5" t="s">
        <v>71</v>
      </c>
      <c r="F5" t="s">
        <v>280</v>
      </c>
      <c r="G5" t="s">
        <v>77</v>
      </c>
      <c r="H5" t="s">
        <v>323</v>
      </c>
      <c r="I5" t="s">
        <v>81</v>
      </c>
      <c r="L5" t="s">
        <v>37</v>
      </c>
    </row>
    <row r="6" spans="1:13" x14ac:dyDescent="0.3">
      <c r="A6" s="9" t="s">
        <v>227</v>
      </c>
      <c r="B6" t="s">
        <v>269</v>
      </c>
      <c r="D6" t="s">
        <v>70</v>
      </c>
      <c r="E6" t="s">
        <v>71</v>
      </c>
      <c r="F6" t="s">
        <v>281</v>
      </c>
      <c r="G6" t="s">
        <v>76</v>
      </c>
      <c r="L6" t="s">
        <v>37</v>
      </c>
    </row>
    <row r="7" spans="1:13" x14ac:dyDescent="0.3">
      <c r="A7" s="9" t="s">
        <v>228</v>
      </c>
      <c r="B7" t="s">
        <v>270</v>
      </c>
      <c r="D7" t="s">
        <v>70</v>
      </c>
      <c r="E7" t="s">
        <v>71</v>
      </c>
      <c r="F7" t="s">
        <v>282</v>
      </c>
      <c r="G7" t="s">
        <v>76</v>
      </c>
      <c r="L7" t="s">
        <v>37</v>
      </c>
    </row>
    <row r="8" spans="1:13" x14ac:dyDescent="0.3">
      <c r="A8" s="9" t="s">
        <v>229</v>
      </c>
      <c r="B8" t="s">
        <v>269</v>
      </c>
      <c r="D8" t="s">
        <v>70</v>
      </c>
      <c r="E8" t="s">
        <v>71</v>
      </c>
      <c r="F8" t="s">
        <v>283</v>
      </c>
      <c r="G8" t="s">
        <v>76</v>
      </c>
      <c r="L8" t="s">
        <v>37</v>
      </c>
    </row>
    <row r="9" spans="1:13" x14ac:dyDescent="0.3">
      <c r="A9" s="9" t="s">
        <v>230</v>
      </c>
      <c r="B9" t="s">
        <v>269</v>
      </c>
      <c r="D9" t="s">
        <v>70</v>
      </c>
      <c r="E9" t="s">
        <v>71</v>
      </c>
      <c r="F9" t="s">
        <v>284</v>
      </c>
      <c r="G9" t="s">
        <v>76</v>
      </c>
      <c r="L9" t="s">
        <v>37</v>
      </c>
    </row>
    <row r="10" spans="1:13" x14ac:dyDescent="0.3">
      <c r="A10" s="9" t="s">
        <v>231</v>
      </c>
      <c r="B10" t="s">
        <v>271</v>
      </c>
      <c r="D10" t="s">
        <v>70</v>
      </c>
      <c r="E10" t="s">
        <v>71</v>
      </c>
      <c r="F10" t="s">
        <v>285</v>
      </c>
      <c r="G10" t="s">
        <v>76</v>
      </c>
      <c r="L10" t="s">
        <v>37</v>
      </c>
    </row>
    <row r="11" spans="1:13" x14ac:dyDescent="0.3">
      <c r="A11" s="9" t="s">
        <v>232</v>
      </c>
      <c r="B11" t="s">
        <v>269</v>
      </c>
      <c r="D11" t="s">
        <v>70</v>
      </c>
      <c r="E11" t="s">
        <v>71</v>
      </c>
      <c r="F11" t="s">
        <v>286</v>
      </c>
      <c r="G11" t="s">
        <v>76</v>
      </c>
      <c r="L11" t="s">
        <v>37</v>
      </c>
    </row>
    <row r="12" spans="1:13" x14ac:dyDescent="0.3">
      <c r="A12" s="9" t="s">
        <v>233</v>
      </c>
      <c r="B12" t="s">
        <v>272</v>
      </c>
      <c r="D12" t="s">
        <v>70</v>
      </c>
      <c r="E12" t="s">
        <v>71</v>
      </c>
      <c r="F12" t="s">
        <v>287</v>
      </c>
      <c r="G12" t="s">
        <v>76</v>
      </c>
      <c r="L12" t="s">
        <v>37</v>
      </c>
    </row>
    <row r="13" spans="1:13" x14ac:dyDescent="0.3">
      <c r="A13" s="9" t="s">
        <v>234</v>
      </c>
      <c r="B13" t="s">
        <v>269</v>
      </c>
      <c r="D13" t="s">
        <v>70</v>
      </c>
      <c r="E13" t="s">
        <v>71</v>
      </c>
      <c r="F13" t="s">
        <v>288</v>
      </c>
      <c r="G13" t="s">
        <v>76</v>
      </c>
      <c r="L13" t="s">
        <v>37</v>
      </c>
    </row>
    <row r="14" spans="1:13" x14ac:dyDescent="0.3">
      <c r="A14" s="9" t="s">
        <v>235</v>
      </c>
      <c r="B14" t="s">
        <v>269</v>
      </c>
      <c r="D14" t="s">
        <v>70</v>
      </c>
      <c r="E14" t="s">
        <v>71</v>
      </c>
      <c r="F14" t="s">
        <v>289</v>
      </c>
      <c r="G14" t="s">
        <v>76</v>
      </c>
      <c r="L14" t="s">
        <v>37</v>
      </c>
    </row>
    <row r="15" spans="1:13" x14ac:dyDescent="0.3">
      <c r="A15" s="9" t="s">
        <v>236</v>
      </c>
      <c r="B15" t="s">
        <v>269</v>
      </c>
      <c r="D15" t="s">
        <v>70</v>
      </c>
      <c r="E15" t="s">
        <v>71</v>
      </c>
      <c r="F15" t="s">
        <v>290</v>
      </c>
      <c r="G15" t="s">
        <v>76</v>
      </c>
      <c r="L15" t="s">
        <v>37</v>
      </c>
    </row>
    <row r="16" spans="1:13" x14ac:dyDescent="0.3">
      <c r="A16" s="9" t="s">
        <v>237</v>
      </c>
      <c r="B16" t="s">
        <v>269</v>
      </c>
      <c r="D16" t="s">
        <v>70</v>
      </c>
      <c r="E16" t="s">
        <v>71</v>
      </c>
      <c r="F16" t="s">
        <v>291</v>
      </c>
      <c r="G16" t="s">
        <v>76</v>
      </c>
      <c r="L16" t="s">
        <v>37</v>
      </c>
    </row>
    <row r="17" spans="1:12" x14ac:dyDescent="0.3">
      <c r="A17" s="9" t="s">
        <v>238</v>
      </c>
      <c r="B17" t="s">
        <v>270</v>
      </c>
      <c r="D17" t="s">
        <v>70</v>
      </c>
      <c r="E17" t="s">
        <v>71</v>
      </c>
      <c r="F17" t="s">
        <v>292</v>
      </c>
      <c r="G17" t="s">
        <v>76</v>
      </c>
      <c r="L17" t="s">
        <v>37</v>
      </c>
    </row>
    <row r="18" spans="1:12" x14ac:dyDescent="0.3">
      <c r="A18" s="9" t="s">
        <v>239</v>
      </c>
      <c r="B18" t="s">
        <v>270</v>
      </c>
      <c r="D18" t="s">
        <v>70</v>
      </c>
      <c r="E18" t="s">
        <v>71</v>
      </c>
      <c r="F18" t="s">
        <v>293</v>
      </c>
      <c r="G18" t="s">
        <v>76</v>
      </c>
      <c r="L18" t="s">
        <v>37</v>
      </c>
    </row>
    <row r="19" spans="1:12" x14ac:dyDescent="0.3">
      <c r="A19" s="9" t="s">
        <v>240</v>
      </c>
      <c r="B19" t="s">
        <v>273</v>
      </c>
      <c r="D19" t="s">
        <v>70</v>
      </c>
      <c r="E19" t="s">
        <v>71</v>
      </c>
      <c r="F19" t="s">
        <v>294</v>
      </c>
      <c r="G19" t="s">
        <v>76</v>
      </c>
      <c r="L19" t="s">
        <v>37</v>
      </c>
    </row>
    <row r="20" spans="1:12" x14ac:dyDescent="0.3">
      <c r="A20" s="9" t="s">
        <v>241</v>
      </c>
      <c r="B20" t="s">
        <v>269</v>
      </c>
      <c r="D20" t="s">
        <v>70</v>
      </c>
      <c r="E20" t="s">
        <v>71</v>
      </c>
      <c r="F20" t="s">
        <v>295</v>
      </c>
      <c r="G20" t="s">
        <v>76</v>
      </c>
      <c r="L20" t="s">
        <v>37</v>
      </c>
    </row>
    <row r="21" spans="1:12" x14ac:dyDescent="0.3">
      <c r="A21" s="9" t="s">
        <v>242</v>
      </c>
      <c r="B21" t="s">
        <v>274</v>
      </c>
      <c r="D21" t="s">
        <v>70</v>
      </c>
      <c r="E21" t="s">
        <v>71</v>
      </c>
      <c r="F21" t="s">
        <v>296</v>
      </c>
      <c r="G21" t="s">
        <v>76</v>
      </c>
      <c r="L21" t="s">
        <v>37</v>
      </c>
    </row>
    <row r="22" spans="1:12" x14ac:dyDescent="0.3">
      <c r="A22" s="9" t="s">
        <v>243</v>
      </c>
      <c r="B22" t="s">
        <v>269</v>
      </c>
      <c r="D22" t="s">
        <v>70</v>
      </c>
      <c r="E22" t="s">
        <v>71</v>
      </c>
      <c r="F22" t="s">
        <v>297</v>
      </c>
      <c r="G22" t="s">
        <v>76</v>
      </c>
      <c r="L22" t="s">
        <v>37</v>
      </c>
    </row>
    <row r="23" spans="1:12" x14ac:dyDescent="0.3">
      <c r="A23" s="9" t="s">
        <v>244</v>
      </c>
      <c r="B23" t="s">
        <v>271</v>
      </c>
      <c r="D23" t="s">
        <v>70</v>
      </c>
      <c r="E23" t="s">
        <v>71</v>
      </c>
      <c r="F23" t="s">
        <v>298</v>
      </c>
      <c r="G23" t="s">
        <v>76</v>
      </c>
      <c r="L23" t="s">
        <v>37</v>
      </c>
    </row>
    <row r="24" spans="1:12" x14ac:dyDescent="0.3">
      <c r="A24" s="9" t="s">
        <v>245</v>
      </c>
      <c r="B24" t="s">
        <v>269</v>
      </c>
      <c r="D24" t="s">
        <v>70</v>
      </c>
      <c r="E24" t="s">
        <v>71</v>
      </c>
      <c r="F24" t="s">
        <v>299</v>
      </c>
      <c r="G24" t="s">
        <v>76</v>
      </c>
      <c r="L24" t="s">
        <v>37</v>
      </c>
    </row>
    <row r="25" spans="1:12" x14ac:dyDescent="0.3">
      <c r="A25" s="9" t="s">
        <v>246</v>
      </c>
      <c r="B25" t="s">
        <v>271</v>
      </c>
      <c r="D25" t="s">
        <v>70</v>
      </c>
      <c r="E25" t="s">
        <v>71</v>
      </c>
      <c r="F25" t="s">
        <v>300</v>
      </c>
      <c r="G25" t="s">
        <v>76</v>
      </c>
      <c r="L25" t="s">
        <v>37</v>
      </c>
    </row>
    <row r="26" spans="1:12" x14ac:dyDescent="0.3">
      <c r="A26" s="9" t="s">
        <v>247</v>
      </c>
      <c r="B26" t="s">
        <v>269</v>
      </c>
      <c r="D26" t="s">
        <v>70</v>
      </c>
      <c r="E26" t="s">
        <v>71</v>
      </c>
      <c r="F26" t="s">
        <v>301</v>
      </c>
      <c r="G26" t="s">
        <v>76</v>
      </c>
      <c r="L26" t="s">
        <v>37</v>
      </c>
    </row>
    <row r="27" spans="1:12" x14ac:dyDescent="0.3">
      <c r="A27" s="9" t="s">
        <v>248</v>
      </c>
      <c r="B27" t="s">
        <v>269</v>
      </c>
      <c r="D27" t="s">
        <v>70</v>
      </c>
      <c r="E27" t="s">
        <v>71</v>
      </c>
      <c r="F27" t="s">
        <v>302</v>
      </c>
      <c r="G27" t="s">
        <v>76</v>
      </c>
      <c r="L27" t="s">
        <v>37</v>
      </c>
    </row>
    <row r="28" spans="1:12" x14ac:dyDescent="0.3">
      <c r="A28" s="9" t="s">
        <v>249</v>
      </c>
      <c r="B28" t="s">
        <v>273</v>
      </c>
      <c r="D28" t="s">
        <v>70</v>
      </c>
      <c r="E28" t="s">
        <v>71</v>
      </c>
      <c r="F28" t="s">
        <v>303</v>
      </c>
      <c r="G28" t="s">
        <v>76</v>
      </c>
      <c r="L28" t="s">
        <v>37</v>
      </c>
    </row>
    <row r="29" spans="1:12" x14ac:dyDescent="0.3">
      <c r="A29" s="9" t="s">
        <v>250</v>
      </c>
      <c r="B29" t="s">
        <v>271</v>
      </c>
      <c r="D29" t="s">
        <v>70</v>
      </c>
      <c r="E29" t="s">
        <v>71</v>
      </c>
      <c r="F29" t="s">
        <v>304</v>
      </c>
      <c r="G29" t="s">
        <v>76</v>
      </c>
      <c r="L29" t="s">
        <v>37</v>
      </c>
    </row>
    <row r="30" spans="1:12" x14ac:dyDescent="0.3">
      <c r="A30" s="9" t="s">
        <v>251</v>
      </c>
      <c r="B30" t="s">
        <v>275</v>
      </c>
      <c r="D30" t="s">
        <v>70</v>
      </c>
      <c r="E30" t="s">
        <v>71</v>
      </c>
      <c r="F30" t="s">
        <v>305</v>
      </c>
      <c r="G30" t="s">
        <v>76</v>
      </c>
      <c r="L30" t="s">
        <v>37</v>
      </c>
    </row>
    <row r="31" spans="1:12" x14ac:dyDescent="0.3">
      <c r="A31" s="9" t="s">
        <v>252</v>
      </c>
      <c r="B31" t="s">
        <v>269</v>
      </c>
      <c r="D31" t="s">
        <v>70</v>
      </c>
      <c r="E31" t="s">
        <v>71</v>
      </c>
      <c r="F31" t="s">
        <v>306</v>
      </c>
      <c r="G31" t="s">
        <v>76</v>
      </c>
      <c r="L31" t="s">
        <v>37</v>
      </c>
    </row>
    <row r="32" spans="1:12" x14ac:dyDescent="0.3">
      <c r="A32" s="9" t="s">
        <v>253</v>
      </c>
      <c r="B32" t="s">
        <v>269</v>
      </c>
      <c r="D32" t="s">
        <v>70</v>
      </c>
      <c r="E32" t="s">
        <v>71</v>
      </c>
      <c r="F32" t="s">
        <v>307</v>
      </c>
      <c r="G32" t="s">
        <v>76</v>
      </c>
      <c r="L32" t="s">
        <v>37</v>
      </c>
    </row>
    <row r="33" spans="1:12" x14ac:dyDescent="0.3">
      <c r="A33" s="9" t="s">
        <v>254</v>
      </c>
      <c r="B33" t="s">
        <v>269</v>
      </c>
      <c r="D33" t="s">
        <v>70</v>
      </c>
      <c r="E33" t="s">
        <v>71</v>
      </c>
      <c r="F33" t="s">
        <v>308</v>
      </c>
      <c r="G33" t="s">
        <v>76</v>
      </c>
      <c r="L33" t="s">
        <v>37</v>
      </c>
    </row>
    <row r="34" spans="1:12" x14ac:dyDescent="0.3">
      <c r="A34" s="9" t="s">
        <v>255</v>
      </c>
      <c r="B34" t="s">
        <v>276</v>
      </c>
      <c r="D34" t="s">
        <v>70</v>
      </c>
      <c r="E34" t="s">
        <v>71</v>
      </c>
      <c r="F34" t="s">
        <v>309</v>
      </c>
      <c r="G34" t="s">
        <v>76</v>
      </c>
      <c r="L34" t="s">
        <v>37</v>
      </c>
    </row>
    <row r="35" spans="1:12" x14ac:dyDescent="0.3">
      <c r="A35" s="9" t="s">
        <v>256</v>
      </c>
      <c r="B35" t="s">
        <v>269</v>
      </c>
      <c r="D35" t="s">
        <v>70</v>
      </c>
      <c r="E35" t="s">
        <v>71</v>
      </c>
      <c r="F35" t="s">
        <v>310</v>
      </c>
      <c r="G35" t="s">
        <v>76</v>
      </c>
      <c r="L35" t="s">
        <v>37</v>
      </c>
    </row>
    <row r="36" spans="1:12" x14ac:dyDescent="0.3">
      <c r="A36" s="9" t="s">
        <v>257</v>
      </c>
      <c r="B36" t="s">
        <v>269</v>
      </c>
      <c r="D36" t="s">
        <v>70</v>
      </c>
      <c r="E36" t="s">
        <v>71</v>
      </c>
      <c r="F36" t="s">
        <v>311</v>
      </c>
      <c r="G36" t="s">
        <v>76</v>
      </c>
      <c r="L36" t="s">
        <v>37</v>
      </c>
    </row>
    <row r="37" spans="1:12" x14ac:dyDescent="0.3">
      <c r="A37" s="9" t="s">
        <v>258</v>
      </c>
      <c r="B37" t="s">
        <v>274</v>
      </c>
      <c r="D37" t="s">
        <v>70</v>
      </c>
      <c r="E37" t="s">
        <v>71</v>
      </c>
      <c r="F37" t="s">
        <v>312</v>
      </c>
      <c r="G37" t="s">
        <v>76</v>
      </c>
      <c r="L37" t="s">
        <v>37</v>
      </c>
    </row>
    <row r="38" spans="1:12" x14ac:dyDescent="0.3">
      <c r="A38" s="9" t="s">
        <v>259</v>
      </c>
      <c r="B38" t="s">
        <v>269</v>
      </c>
      <c r="D38" t="s">
        <v>70</v>
      </c>
      <c r="E38" t="s">
        <v>71</v>
      </c>
      <c r="F38" t="s">
        <v>313</v>
      </c>
      <c r="G38" t="s">
        <v>76</v>
      </c>
      <c r="L38" t="s">
        <v>37</v>
      </c>
    </row>
    <row r="39" spans="1:12" x14ac:dyDescent="0.3">
      <c r="A39" s="9" t="s">
        <v>260</v>
      </c>
      <c r="B39" t="s">
        <v>269</v>
      </c>
      <c r="D39" t="s">
        <v>70</v>
      </c>
      <c r="E39" t="s">
        <v>71</v>
      </c>
      <c r="F39" t="s">
        <v>314</v>
      </c>
      <c r="G39" t="s">
        <v>76</v>
      </c>
      <c r="L39" t="s">
        <v>37</v>
      </c>
    </row>
    <row r="40" spans="1:12" x14ac:dyDescent="0.3">
      <c r="A40" s="9" t="s">
        <v>261</v>
      </c>
      <c r="B40" t="s">
        <v>269</v>
      </c>
      <c r="D40" t="s">
        <v>70</v>
      </c>
      <c r="E40" t="s">
        <v>71</v>
      </c>
      <c r="F40" t="s">
        <v>315</v>
      </c>
      <c r="G40" t="s">
        <v>76</v>
      </c>
      <c r="L40" t="s">
        <v>37</v>
      </c>
    </row>
    <row r="41" spans="1:12" x14ac:dyDescent="0.3">
      <c r="A41" s="9" t="s">
        <v>262</v>
      </c>
      <c r="B41" t="s">
        <v>269</v>
      </c>
      <c r="D41" t="s">
        <v>70</v>
      </c>
      <c r="E41" t="s">
        <v>71</v>
      </c>
      <c r="F41" t="s">
        <v>316</v>
      </c>
      <c r="G41" t="s">
        <v>76</v>
      </c>
      <c r="L41" t="s">
        <v>37</v>
      </c>
    </row>
    <row r="42" spans="1:12" x14ac:dyDescent="0.3">
      <c r="A42" s="9" t="s">
        <v>263</v>
      </c>
      <c r="B42" t="s">
        <v>277</v>
      </c>
      <c r="D42" t="s">
        <v>70</v>
      </c>
      <c r="E42" t="s">
        <v>71</v>
      </c>
      <c r="F42" t="s">
        <v>317</v>
      </c>
      <c r="G42" t="s">
        <v>76</v>
      </c>
      <c r="L42" t="s">
        <v>37</v>
      </c>
    </row>
    <row r="43" spans="1:12" x14ac:dyDescent="0.3">
      <c r="A43" s="9" t="s">
        <v>264</v>
      </c>
      <c r="B43" t="s">
        <v>269</v>
      </c>
      <c r="D43" t="s">
        <v>70</v>
      </c>
      <c r="E43" t="s">
        <v>71</v>
      </c>
      <c r="F43" t="s">
        <v>318</v>
      </c>
      <c r="G43" t="s">
        <v>76</v>
      </c>
      <c r="L43" t="s">
        <v>37</v>
      </c>
    </row>
    <row r="44" spans="1:12" x14ac:dyDescent="0.3">
      <c r="A44" s="9" t="s">
        <v>265</v>
      </c>
      <c r="B44" t="s">
        <v>271</v>
      </c>
      <c r="D44" t="s">
        <v>70</v>
      </c>
      <c r="E44" t="s">
        <v>71</v>
      </c>
      <c r="F44" t="s">
        <v>319</v>
      </c>
      <c r="G44" t="s">
        <v>76</v>
      </c>
      <c r="L44" t="s">
        <v>37</v>
      </c>
    </row>
    <row r="45" spans="1:12" x14ac:dyDescent="0.3">
      <c r="A45" s="9" t="s">
        <v>266</v>
      </c>
      <c r="B45" t="s">
        <v>271</v>
      </c>
      <c r="D45" t="s">
        <v>70</v>
      </c>
      <c r="E45" t="s">
        <v>71</v>
      </c>
      <c r="F45" t="s">
        <v>320</v>
      </c>
      <c r="G45" t="s">
        <v>76</v>
      </c>
      <c r="L45" t="s">
        <v>37</v>
      </c>
    </row>
    <row r="46" spans="1:12" x14ac:dyDescent="0.3">
      <c r="A46" s="9" t="s">
        <v>267</v>
      </c>
      <c r="B46" t="s">
        <v>269</v>
      </c>
      <c r="D46" t="s">
        <v>70</v>
      </c>
      <c r="E46" t="s">
        <v>71</v>
      </c>
      <c r="F46" t="s">
        <v>321</v>
      </c>
      <c r="G46" t="s">
        <v>76</v>
      </c>
      <c r="L46" t="s">
        <v>37</v>
      </c>
    </row>
    <row r="47" spans="1:12" x14ac:dyDescent="0.3">
      <c r="A47" s="9" t="s">
        <v>268</v>
      </c>
      <c r="B47" t="s">
        <v>270</v>
      </c>
      <c r="D47" t="s">
        <v>70</v>
      </c>
      <c r="E47" t="s">
        <v>71</v>
      </c>
      <c r="F47" t="s">
        <v>322</v>
      </c>
      <c r="G47" t="s">
        <v>76</v>
      </c>
      <c r="L47" t="s">
        <v>37</v>
      </c>
    </row>
  </sheetData>
  <mergeCells count="12">
    <mergeCell ref="L1:L2"/>
    <mergeCell ref="M1:M2"/>
    <mergeCell ref="G1:G2"/>
    <mergeCell ref="H1:H2"/>
    <mergeCell ref="I1:I2"/>
    <mergeCell ref="J1:J2"/>
    <mergeCell ref="K1:K2"/>
    <mergeCell ref="A1:A2"/>
    <mergeCell ref="B1:B2"/>
    <mergeCell ref="C1:C2"/>
    <mergeCell ref="D1:D2"/>
    <mergeCell ref="F1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C8918"/>
  </sheetPr>
  <dimension ref="A1:M46"/>
  <sheetViews>
    <sheetView workbookViewId="0"/>
  </sheetViews>
  <sheetFormatPr defaultRowHeight="13.8" x14ac:dyDescent="0.3"/>
  <cols>
    <col min="1" max="1" width="74.6640625" customWidth="1"/>
    <col min="2" max="2" width="23.6640625" customWidth="1"/>
    <col min="3" max="3" width="11.6640625" customWidth="1"/>
    <col min="4" max="4" width="18.6640625" customWidth="1"/>
    <col min="5" max="5" width="14.6640625" customWidth="1"/>
    <col min="6" max="6" width="44.6640625" customWidth="1"/>
    <col min="7" max="7" width="11.6640625" customWidth="1"/>
    <col min="8" max="8" width="44.6640625" customWidth="1"/>
    <col min="9" max="9" width="27.6640625" customWidth="1"/>
    <col min="10" max="10" width="22.6640625" customWidth="1"/>
    <col min="11" max="11" width="26.6640625" customWidth="1"/>
    <col min="12" max="12" width="11.6640625" customWidth="1"/>
    <col min="13" max="13" width="12.6640625" customWidth="1"/>
  </cols>
  <sheetData>
    <row r="1" spans="1:13" x14ac:dyDescent="0.3">
      <c r="A1" s="11" t="s">
        <v>52</v>
      </c>
      <c r="B1" s="11" t="s">
        <v>53</v>
      </c>
      <c r="C1" s="11" t="s">
        <v>54</v>
      </c>
      <c r="D1" s="11" t="s">
        <v>55</v>
      </c>
      <c r="E1" s="1" t="s">
        <v>56</v>
      </c>
      <c r="F1" s="11" t="s">
        <v>57</v>
      </c>
      <c r="G1" s="11" t="s">
        <v>58</v>
      </c>
      <c r="H1" s="11" t="s">
        <v>59</v>
      </c>
      <c r="I1" s="11" t="s">
        <v>60</v>
      </c>
      <c r="J1" s="11" t="s">
        <v>61</v>
      </c>
      <c r="K1" s="11" t="s">
        <v>62</v>
      </c>
      <c r="L1" s="11" t="s">
        <v>3</v>
      </c>
      <c r="M1" s="11" t="s">
        <v>17</v>
      </c>
    </row>
    <row r="2" spans="1:13" x14ac:dyDescent="0.3">
      <c r="A2" s="11"/>
      <c r="B2" s="11"/>
      <c r="C2" s="11"/>
      <c r="D2" s="11"/>
      <c r="E2" s="1" t="s">
        <v>16</v>
      </c>
      <c r="F2" s="11"/>
      <c r="G2" s="11"/>
      <c r="H2" s="11"/>
      <c r="I2" s="11"/>
      <c r="J2" s="11"/>
      <c r="K2" s="11"/>
      <c r="L2" s="11"/>
      <c r="M2" s="11"/>
    </row>
    <row r="3" spans="1:13" x14ac:dyDescent="0.3">
      <c r="A3" s="9" t="s">
        <v>324</v>
      </c>
      <c r="B3" t="s">
        <v>368</v>
      </c>
      <c r="D3" t="s">
        <v>70</v>
      </c>
      <c r="E3" t="s">
        <v>71</v>
      </c>
      <c r="F3" t="s">
        <v>378</v>
      </c>
      <c r="G3" t="s">
        <v>219</v>
      </c>
      <c r="L3" t="s">
        <v>25</v>
      </c>
    </row>
    <row r="4" spans="1:13" x14ac:dyDescent="0.3">
      <c r="A4" s="9" t="s">
        <v>325</v>
      </c>
      <c r="B4" t="s">
        <v>369</v>
      </c>
      <c r="D4" t="s">
        <v>70</v>
      </c>
      <c r="E4" t="s">
        <v>71</v>
      </c>
      <c r="F4" t="s">
        <v>379</v>
      </c>
      <c r="G4" t="s">
        <v>219</v>
      </c>
      <c r="L4" t="s">
        <v>25</v>
      </c>
    </row>
    <row r="5" spans="1:13" x14ac:dyDescent="0.3">
      <c r="A5" s="9" t="s">
        <v>326</v>
      </c>
      <c r="B5" t="s">
        <v>369</v>
      </c>
      <c r="D5" t="s">
        <v>70</v>
      </c>
      <c r="E5" t="s">
        <v>71</v>
      </c>
      <c r="F5" t="s">
        <v>380</v>
      </c>
      <c r="G5" t="s">
        <v>219</v>
      </c>
      <c r="L5" t="s">
        <v>25</v>
      </c>
    </row>
    <row r="6" spans="1:13" x14ac:dyDescent="0.3">
      <c r="A6" s="9" t="s">
        <v>327</v>
      </c>
      <c r="B6" t="s">
        <v>370</v>
      </c>
      <c r="D6" t="s">
        <v>70</v>
      </c>
      <c r="E6" t="s">
        <v>71</v>
      </c>
      <c r="F6" t="s">
        <v>381</v>
      </c>
      <c r="G6" t="s">
        <v>219</v>
      </c>
      <c r="L6" t="s">
        <v>25</v>
      </c>
    </row>
    <row r="7" spans="1:13" x14ac:dyDescent="0.3">
      <c r="A7" s="9" t="s">
        <v>328</v>
      </c>
      <c r="B7" t="s">
        <v>371</v>
      </c>
      <c r="D7" t="s">
        <v>70</v>
      </c>
      <c r="E7" t="s">
        <v>71</v>
      </c>
      <c r="F7" t="s">
        <v>382</v>
      </c>
      <c r="G7" t="s">
        <v>219</v>
      </c>
      <c r="L7" t="s">
        <v>25</v>
      </c>
    </row>
    <row r="8" spans="1:13" x14ac:dyDescent="0.3">
      <c r="A8" s="9" t="s">
        <v>329</v>
      </c>
      <c r="B8" t="s">
        <v>369</v>
      </c>
      <c r="D8" t="s">
        <v>70</v>
      </c>
      <c r="E8" t="s">
        <v>71</v>
      </c>
      <c r="F8" t="s">
        <v>383</v>
      </c>
      <c r="G8" t="s">
        <v>219</v>
      </c>
      <c r="L8" t="s">
        <v>25</v>
      </c>
    </row>
    <row r="9" spans="1:13" x14ac:dyDescent="0.3">
      <c r="A9" s="9" t="s">
        <v>330</v>
      </c>
      <c r="B9" t="s">
        <v>369</v>
      </c>
      <c r="D9" t="s">
        <v>70</v>
      </c>
      <c r="E9" t="s">
        <v>71</v>
      </c>
      <c r="F9" t="s">
        <v>384</v>
      </c>
      <c r="G9" t="s">
        <v>219</v>
      </c>
      <c r="L9" t="s">
        <v>25</v>
      </c>
    </row>
    <row r="10" spans="1:13" x14ac:dyDescent="0.3">
      <c r="A10" s="9" t="s">
        <v>331</v>
      </c>
      <c r="B10" t="s">
        <v>371</v>
      </c>
      <c r="D10" t="s">
        <v>70</v>
      </c>
      <c r="E10" t="s">
        <v>71</v>
      </c>
      <c r="F10" t="s">
        <v>385</v>
      </c>
      <c r="G10" t="s">
        <v>219</v>
      </c>
      <c r="L10" t="s">
        <v>25</v>
      </c>
    </row>
    <row r="11" spans="1:13" x14ac:dyDescent="0.3">
      <c r="A11" s="9" t="s">
        <v>332</v>
      </c>
      <c r="B11" t="s">
        <v>369</v>
      </c>
      <c r="D11" t="s">
        <v>70</v>
      </c>
      <c r="E11" t="s">
        <v>71</v>
      </c>
      <c r="F11" t="s">
        <v>386</v>
      </c>
      <c r="G11" t="s">
        <v>219</v>
      </c>
      <c r="L11" t="s">
        <v>25</v>
      </c>
    </row>
    <row r="12" spans="1:13" x14ac:dyDescent="0.3">
      <c r="A12" s="9" t="s">
        <v>333</v>
      </c>
      <c r="B12" t="s">
        <v>370</v>
      </c>
      <c r="D12" t="s">
        <v>70</v>
      </c>
      <c r="E12" t="s">
        <v>71</v>
      </c>
      <c r="F12" t="s">
        <v>387</v>
      </c>
      <c r="G12" t="s">
        <v>219</v>
      </c>
      <c r="L12" t="s">
        <v>25</v>
      </c>
    </row>
    <row r="13" spans="1:13" x14ac:dyDescent="0.3">
      <c r="A13" s="9" t="s">
        <v>334</v>
      </c>
      <c r="B13" t="s">
        <v>372</v>
      </c>
      <c r="D13" t="s">
        <v>70</v>
      </c>
      <c r="E13" t="s">
        <v>71</v>
      </c>
      <c r="F13" t="s">
        <v>388</v>
      </c>
      <c r="G13" t="s">
        <v>219</v>
      </c>
      <c r="L13" t="s">
        <v>25</v>
      </c>
    </row>
    <row r="14" spans="1:13" x14ac:dyDescent="0.3">
      <c r="A14" s="9" t="s">
        <v>335</v>
      </c>
      <c r="B14" t="s">
        <v>369</v>
      </c>
      <c r="D14" t="s">
        <v>70</v>
      </c>
      <c r="E14" t="s">
        <v>71</v>
      </c>
      <c r="F14" t="s">
        <v>389</v>
      </c>
      <c r="G14" t="s">
        <v>219</v>
      </c>
      <c r="L14" t="s">
        <v>25</v>
      </c>
    </row>
    <row r="15" spans="1:13" x14ac:dyDescent="0.3">
      <c r="A15" s="9" t="s">
        <v>336</v>
      </c>
      <c r="B15" t="s">
        <v>126</v>
      </c>
      <c r="D15" t="s">
        <v>70</v>
      </c>
      <c r="E15" t="s">
        <v>71</v>
      </c>
      <c r="F15" t="s">
        <v>390</v>
      </c>
      <c r="G15" t="s">
        <v>219</v>
      </c>
      <c r="L15" t="s">
        <v>25</v>
      </c>
    </row>
    <row r="16" spans="1:13" x14ac:dyDescent="0.3">
      <c r="A16" s="10" t="s">
        <v>337</v>
      </c>
      <c r="B16" t="s">
        <v>271</v>
      </c>
      <c r="D16" t="s">
        <v>70</v>
      </c>
      <c r="E16" t="s">
        <v>71</v>
      </c>
      <c r="F16" t="s">
        <v>391</v>
      </c>
      <c r="G16" t="s">
        <v>77</v>
      </c>
      <c r="H16" t="s">
        <v>422</v>
      </c>
      <c r="I16" t="s">
        <v>81</v>
      </c>
      <c r="L16" t="s">
        <v>25</v>
      </c>
    </row>
    <row r="17" spans="1:12" x14ac:dyDescent="0.3">
      <c r="A17" s="9" t="s">
        <v>338</v>
      </c>
      <c r="B17" t="s">
        <v>271</v>
      </c>
      <c r="D17" t="s">
        <v>70</v>
      </c>
      <c r="E17" t="s">
        <v>71</v>
      </c>
      <c r="F17" t="s">
        <v>392</v>
      </c>
      <c r="G17" t="s">
        <v>219</v>
      </c>
      <c r="L17" t="s">
        <v>25</v>
      </c>
    </row>
    <row r="18" spans="1:12" x14ac:dyDescent="0.3">
      <c r="A18" s="9" t="s">
        <v>339</v>
      </c>
      <c r="B18" t="s">
        <v>369</v>
      </c>
      <c r="D18" t="s">
        <v>70</v>
      </c>
      <c r="E18" t="s">
        <v>71</v>
      </c>
      <c r="F18" t="s">
        <v>393</v>
      </c>
      <c r="G18" t="s">
        <v>219</v>
      </c>
      <c r="L18" t="s">
        <v>25</v>
      </c>
    </row>
    <row r="19" spans="1:12" x14ac:dyDescent="0.3">
      <c r="A19" s="10" t="s">
        <v>340</v>
      </c>
      <c r="B19" t="s">
        <v>373</v>
      </c>
      <c r="D19" t="s">
        <v>70</v>
      </c>
      <c r="E19" t="s">
        <v>71</v>
      </c>
      <c r="F19" t="s">
        <v>394</v>
      </c>
      <c r="G19" t="s">
        <v>77</v>
      </c>
      <c r="H19" t="s">
        <v>423</v>
      </c>
      <c r="I19" t="s">
        <v>81</v>
      </c>
      <c r="L19" t="s">
        <v>25</v>
      </c>
    </row>
    <row r="20" spans="1:12" x14ac:dyDescent="0.3">
      <c r="A20" s="9" t="s">
        <v>341</v>
      </c>
      <c r="B20" t="s">
        <v>369</v>
      </c>
      <c r="D20" t="s">
        <v>70</v>
      </c>
      <c r="E20" t="s">
        <v>71</v>
      </c>
      <c r="F20" t="s">
        <v>395</v>
      </c>
      <c r="G20" t="s">
        <v>219</v>
      </c>
      <c r="L20" t="s">
        <v>25</v>
      </c>
    </row>
    <row r="21" spans="1:12" x14ac:dyDescent="0.3">
      <c r="A21" s="9" t="s">
        <v>342</v>
      </c>
      <c r="B21" t="s">
        <v>370</v>
      </c>
      <c r="D21" t="s">
        <v>70</v>
      </c>
      <c r="E21" t="s">
        <v>71</v>
      </c>
      <c r="F21" t="s">
        <v>396</v>
      </c>
      <c r="G21" t="s">
        <v>219</v>
      </c>
      <c r="L21" t="s">
        <v>25</v>
      </c>
    </row>
    <row r="22" spans="1:12" x14ac:dyDescent="0.3">
      <c r="A22" s="9" t="s">
        <v>343</v>
      </c>
      <c r="B22" t="s">
        <v>369</v>
      </c>
      <c r="D22" t="s">
        <v>70</v>
      </c>
      <c r="E22" t="s">
        <v>71</v>
      </c>
      <c r="F22" t="s">
        <v>397</v>
      </c>
      <c r="G22" t="s">
        <v>219</v>
      </c>
      <c r="L22" t="s">
        <v>25</v>
      </c>
    </row>
    <row r="23" spans="1:12" x14ac:dyDescent="0.3">
      <c r="A23" s="9" t="s">
        <v>344</v>
      </c>
      <c r="B23" t="s">
        <v>369</v>
      </c>
      <c r="D23" t="s">
        <v>70</v>
      </c>
      <c r="E23" t="s">
        <v>71</v>
      </c>
      <c r="F23" t="s">
        <v>398</v>
      </c>
      <c r="G23" t="s">
        <v>219</v>
      </c>
      <c r="L23" t="s">
        <v>25</v>
      </c>
    </row>
    <row r="24" spans="1:12" x14ac:dyDescent="0.3">
      <c r="A24" s="9" t="s">
        <v>345</v>
      </c>
      <c r="B24" t="s">
        <v>374</v>
      </c>
      <c r="D24" t="s">
        <v>70</v>
      </c>
      <c r="E24" t="s">
        <v>71</v>
      </c>
      <c r="F24" t="s">
        <v>399</v>
      </c>
      <c r="G24" t="s">
        <v>219</v>
      </c>
      <c r="L24" t="s">
        <v>25</v>
      </c>
    </row>
    <row r="25" spans="1:12" x14ac:dyDescent="0.3">
      <c r="A25" s="9" t="s">
        <v>346</v>
      </c>
      <c r="B25" t="s">
        <v>369</v>
      </c>
      <c r="D25" t="s">
        <v>70</v>
      </c>
      <c r="E25" t="s">
        <v>71</v>
      </c>
      <c r="F25" t="s">
        <v>400</v>
      </c>
      <c r="G25" t="s">
        <v>219</v>
      </c>
      <c r="L25" t="s">
        <v>25</v>
      </c>
    </row>
    <row r="26" spans="1:12" x14ac:dyDescent="0.3">
      <c r="A26" s="9" t="s">
        <v>347</v>
      </c>
      <c r="B26" t="s">
        <v>370</v>
      </c>
      <c r="D26" t="s">
        <v>70</v>
      </c>
      <c r="E26" t="s">
        <v>71</v>
      </c>
      <c r="F26" t="s">
        <v>401</v>
      </c>
      <c r="G26" t="s">
        <v>219</v>
      </c>
      <c r="L26" t="s">
        <v>25</v>
      </c>
    </row>
    <row r="27" spans="1:12" x14ac:dyDescent="0.3">
      <c r="A27" s="9" t="s">
        <v>348</v>
      </c>
      <c r="B27" t="s">
        <v>375</v>
      </c>
      <c r="D27" t="s">
        <v>70</v>
      </c>
      <c r="E27" t="s">
        <v>71</v>
      </c>
      <c r="F27" t="s">
        <v>402</v>
      </c>
      <c r="G27" t="s">
        <v>219</v>
      </c>
      <c r="L27" t="s">
        <v>25</v>
      </c>
    </row>
    <row r="28" spans="1:12" x14ac:dyDescent="0.3">
      <c r="A28" s="10" t="s">
        <v>349</v>
      </c>
      <c r="B28" t="s">
        <v>369</v>
      </c>
      <c r="D28" t="s">
        <v>70</v>
      </c>
      <c r="E28" t="s">
        <v>71</v>
      </c>
      <c r="F28" t="s">
        <v>403</v>
      </c>
      <c r="G28" t="s">
        <v>77</v>
      </c>
      <c r="H28" t="s">
        <v>424</v>
      </c>
      <c r="I28" t="s">
        <v>81</v>
      </c>
      <c r="L28" t="s">
        <v>25</v>
      </c>
    </row>
    <row r="29" spans="1:12" x14ac:dyDescent="0.3">
      <c r="A29" s="9" t="s">
        <v>350</v>
      </c>
      <c r="B29" t="s">
        <v>369</v>
      </c>
      <c r="D29" t="s">
        <v>70</v>
      </c>
      <c r="E29" t="s">
        <v>71</v>
      </c>
      <c r="F29" t="s">
        <v>404</v>
      </c>
      <c r="G29" t="s">
        <v>219</v>
      </c>
      <c r="L29" t="s">
        <v>25</v>
      </c>
    </row>
    <row r="30" spans="1:12" x14ac:dyDescent="0.3">
      <c r="A30" s="9" t="s">
        <v>351</v>
      </c>
      <c r="B30" t="s">
        <v>369</v>
      </c>
      <c r="D30" t="s">
        <v>70</v>
      </c>
      <c r="E30" t="s">
        <v>71</v>
      </c>
      <c r="F30" t="s">
        <v>405</v>
      </c>
      <c r="G30" t="s">
        <v>219</v>
      </c>
      <c r="L30" t="s">
        <v>25</v>
      </c>
    </row>
    <row r="31" spans="1:12" x14ac:dyDescent="0.3">
      <c r="A31" s="9" t="s">
        <v>352</v>
      </c>
      <c r="B31" t="s">
        <v>371</v>
      </c>
      <c r="D31" t="s">
        <v>70</v>
      </c>
      <c r="E31" t="s">
        <v>71</v>
      </c>
      <c r="F31" t="s">
        <v>406</v>
      </c>
      <c r="G31" t="s">
        <v>219</v>
      </c>
      <c r="L31" t="s">
        <v>25</v>
      </c>
    </row>
    <row r="32" spans="1:12" x14ac:dyDescent="0.3">
      <c r="A32" s="9" t="s">
        <v>353</v>
      </c>
      <c r="B32" t="s">
        <v>370</v>
      </c>
      <c r="D32" t="s">
        <v>70</v>
      </c>
      <c r="E32" t="s">
        <v>71</v>
      </c>
      <c r="F32" t="s">
        <v>407</v>
      </c>
      <c r="G32" t="s">
        <v>219</v>
      </c>
      <c r="L32" t="s">
        <v>25</v>
      </c>
    </row>
    <row r="33" spans="1:12" x14ac:dyDescent="0.3">
      <c r="A33" s="9" t="s">
        <v>354</v>
      </c>
      <c r="B33" t="s">
        <v>369</v>
      </c>
      <c r="D33" t="s">
        <v>70</v>
      </c>
      <c r="E33" t="s">
        <v>71</v>
      </c>
      <c r="F33" t="s">
        <v>408</v>
      </c>
      <c r="G33" t="s">
        <v>219</v>
      </c>
      <c r="L33" t="s">
        <v>25</v>
      </c>
    </row>
    <row r="34" spans="1:12" x14ac:dyDescent="0.3">
      <c r="A34" s="9" t="s">
        <v>355</v>
      </c>
      <c r="B34" t="s">
        <v>370</v>
      </c>
      <c r="D34" t="s">
        <v>70</v>
      </c>
      <c r="E34" t="s">
        <v>71</v>
      </c>
      <c r="F34" t="s">
        <v>409</v>
      </c>
      <c r="G34" t="s">
        <v>219</v>
      </c>
      <c r="L34" t="s">
        <v>25</v>
      </c>
    </row>
    <row r="35" spans="1:12" x14ac:dyDescent="0.3">
      <c r="A35" s="10" t="s">
        <v>356</v>
      </c>
      <c r="B35" t="s">
        <v>271</v>
      </c>
      <c r="D35" t="s">
        <v>70</v>
      </c>
      <c r="E35" t="s">
        <v>71</v>
      </c>
      <c r="F35" t="s">
        <v>410</v>
      </c>
      <c r="G35" t="s">
        <v>77</v>
      </c>
      <c r="H35" t="s">
        <v>425</v>
      </c>
      <c r="I35" t="s">
        <v>81</v>
      </c>
      <c r="L35" t="s">
        <v>25</v>
      </c>
    </row>
    <row r="36" spans="1:12" x14ac:dyDescent="0.3">
      <c r="A36" s="9" t="s">
        <v>357</v>
      </c>
      <c r="B36" t="s">
        <v>371</v>
      </c>
      <c r="D36" t="s">
        <v>70</v>
      </c>
      <c r="E36" t="s">
        <v>71</v>
      </c>
      <c r="F36" t="s">
        <v>411</v>
      </c>
      <c r="G36" t="s">
        <v>219</v>
      </c>
      <c r="L36" t="s">
        <v>25</v>
      </c>
    </row>
    <row r="37" spans="1:12" x14ac:dyDescent="0.3">
      <c r="A37" s="9" t="s">
        <v>358</v>
      </c>
      <c r="B37" t="s">
        <v>370</v>
      </c>
      <c r="D37" t="s">
        <v>70</v>
      </c>
      <c r="E37" t="s">
        <v>71</v>
      </c>
      <c r="F37" t="s">
        <v>412</v>
      </c>
      <c r="G37" t="s">
        <v>219</v>
      </c>
      <c r="L37" t="s">
        <v>25</v>
      </c>
    </row>
    <row r="38" spans="1:12" x14ac:dyDescent="0.3">
      <c r="A38" s="9" t="s">
        <v>359</v>
      </c>
      <c r="B38" t="s">
        <v>376</v>
      </c>
      <c r="D38" t="s">
        <v>70</v>
      </c>
      <c r="E38" t="s">
        <v>71</v>
      </c>
      <c r="F38" t="s">
        <v>413</v>
      </c>
      <c r="G38" t="s">
        <v>219</v>
      </c>
      <c r="L38" t="s">
        <v>25</v>
      </c>
    </row>
    <row r="39" spans="1:12" x14ac:dyDescent="0.3">
      <c r="A39" s="9" t="s">
        <v>360</v>
      </c>
      <c r="B39" t="s">
        <v>369</v>
      </c>
      <c r="D39" t="s">
        <v>70</v>
      </c>
      <c r="E39" t="s">
        <v>71</v>
      </c>
      <c r="F39" t="s">
        <v>414</v>
      </c>
      <c r="G39" t="s">
        <v>219</v>
      </c>
      <c r="L39" t="s">
        <v>25</v>
      </c>
    </row>
    <row r="40" spans="1:12" x14ac:dyDescent="0.3">
      <c r="A40" s="9" t="s">
        <v>361</v>
      </c>
      <c r="B40" t="s">
        <v>369</v>
      </c>
      <c r="D40" t="s">
        <v>70</v>
      </c>
      <c r="E40" t="s">
        <v>71</v>
      </c>
      <c r="F40" t="s">
        <v>415</v>
      </c>
      <c r="G40" t="s">
        <v>219</v>
      </c>
      <c r="L40" t="s">
        <v>25</v>
      </c>
    </row>
    <row r="41" spans="1:12" x14ac:dyDescent="0.3">
      <c r="A41" s="9" t="s">
        <v>362</v>
      </c>
      <c r="B41" t="s">
        <v>369</v>
      </c>
      <c r="D41" t="s">
        <v>70</v>
      </c>
      <c r="E41" t="s">
        <v>71</v>
      </c>
      <c r="F41" t="s">
        <v>416</v>
      </c>
      <c r="G41" t="s">
        <v>219</v>
      </c>
      <c r="L41" t="s">
        <v>25</v>
      </c>
    </row>
    <row r="42" spans="1:12" x14ac:dyDescent="0.3">
      <c r="A42" s="9" t="s">
        <v>363</v>
      </c>
      <c r="B42" t="s">
        <v>370</v>
      </c>
      <c r="D42" t="s">
        <v>70</v>
      </c>
      <c r="E42" t="s">
        <v>71</v>
      </c>
      <c r="F42" t="s">
        <v>417</v>
      </c>
      <c r="G42" t="s">
        <v>219</v>
      </c>
      <c r="L42" t="s">
        <v>25</v>
      </c>
    </row>
    <row r="43" spans="1:12" x14ac:dyDescent="0.3">
      <c r="A43" s="9" t="s">
        <v>364</v>
      </c>
      <c r="B43" t="s">
        <v>377</v>
      </c>
      <c r="D43" t="s">
        <v>70</v>
      </c>
      <c r="E43" t="s">
        <v>71</v>
      </c>
      <c r="F43" t="s">
        <v>418</v>
      </c>
      <c r="G43" t="s">
        <v>219</v>
      </c>
      <c r="L43" t="s">
        <v>25</v>
      </c>
    </row>
    <row r="44" spans="1:12" x14ac:dyDescent="0.3">
      <c r="A44" s="9" t="s">
        <v>365</v>
      </c>
      <c r="B44" t="s">
        <v>369</v>
      </c>
      <c r="D44" t="s">
        <v>70</v>
      </c>
      <c r="E44" t="s">
        <v>71</v>
      </c>
      <c r="F44" t="s">
        <v>419</v>
      </c>
      <c r="G44" t="s">
        <v>219</v>
      </c>
      <c r="L44" t="s">
        <v>25</v>
      </c>
    </row>
    <row r="45" spans="1:12" x14ac:dyDescent="0.3">
      <c r="A45" s="9" t="s">
        <v>366</v>
      </c>
      <c r="B45" t="s">
        <v>369</v>
      </c>
      <c r="D45" t="s">
        <v>70</v>
      </c>
      <c r="E45" t="s">
        <v>71</v>
      </c>
      <c r="F45" t="s">
        <v>420</v>
      </c>
      <c r="G45" t="s">
        <v>219</v>
      </c>
      <c r="L45" t="s">
        <v>25</v>
      </c>
    </row>
    <row r="46" spans="1:12" x14ac:dyDescent="0.3">
      <c r="A46" s="9" t="s">
        <v>367</v>
      </c>
      <c r="B46" t="s">
        <v>371</v>
      </c>
      <c r="D46" t="s">
        <v>70</v>
      </c>
      <c r="E46" t="s">
        <v>71</v>
      </c>
      <c r="F46" t="s">
        <v>421</v>
      </c>
      <c r="G46" t="s">
        <v>219</v>
      </c>
      <c r="L46" t="s">
        <v>25</v>
      </c>
    </row>
  </sheetData>
  <mergeCells count="12">
    <mergeCell ref="L1:L2"/>
    <mergeCell ref="M1:M2"/>
    <mergeCell ref="G1:G2"/>
    <mergeCell ref="H1:H2"/>
    <mergeCell ref="I1:I2"/>
    <mergeCell ref="J1:J2"/>
    <mergeCell ref="K1:K2"/>
    <mergeCell ref="A1:A2"/>
    <mergeCell ref="B1:B2"/>
    <mergeCell ref="C1:C2"/>
    <mergeCell ref="D1:D2"/>
    <mergeCell ref="F1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C8918"/>
  </sheetPr>
  <dimension ref="A1:M7"/>
  <sheetViews>
    <sheetView workbookViewId="0"/>
  </sheetViews>
  <sheetFormatPr defaultRowHeight="13.8" x14ac:dyDescent="0.3"/>
  <cols>
    <col min="1" max="1" width="68.6640625" customWidth="1"/>
    <col min="2" max="2" width="23.6640625" customWidth="1"/>
    <col min="3" max="3" width="11.6640625" customWidth="1"/>
    <col min="4" max="4" width="18.6640625" customWidth="1"/>
    <col min="5" max="5" width="7.6640625" customWidth="1"/>
    <col min="6" max="6" width="44.6640625" customWidth="1"/>
    <col min="7" max="7" width="11.6640625" customWidth="1"/>
    <col min="8" max="8" width="19.6640625" customWidth="1"/>
    <col min="9" max="9" width="27.6640625" customWidth="1"/>
    <col min="10" max="10" width="22.6640625" customWidth="1"/>
    <col min="11" max="11" width="26.6640625" customWidth="1"/>
    <col min="12" max="12" width="11.6640625" customWidth="1"/>
    <col min="13" max="13" width="12.6640625" customWidth="1"/>
  </cols>
  <sheetData>
    <row r="1" spans="1:13" x14ac:dyDescent="0.3">
      <c r="A1" s="11" t="s">
        <v>52</v>
      </c>
      <c r="B1" s="11" t="s">
        <v>53</v>
      </c>
      <c r="C1" s="11" t="s">
        <v>54</v>
      </c>
      <c r="D1" s="11" t="s">
        <v>55</v>
      </c>
      <c r="E1" s="1" t="s">
        <v>56</v>
      </c>
      <c r="F1" s="11" t="s">
        <v>57</v>
      </c>
      <c r="G1" s="11" t="s">
        <v>58</v>
      </c>
      <c r="H1" s="11" t="s">
        <v>59</v>
      </c>
      <c r="I1" s="11" t="s">
        <v>60</v>
      </c>
      <c r="J1" s="11" t="s">
        <v>61</v>
      </c>
      <c r="K1" s="11" t="s">
        <v>62</v>
      </c>
      <c r="L1" s="11" t="s">
        <v>3</v>
      </c>
      <c r="M1" s="11" t="s">
        <v>17</v>
      </c>
    </row>
    <row r="2" spans="1:13" x14ac:dyDescent="0.3">
      <c r="A2" s="11"/>
      <c r="B2" s="11"/>
      <c r="C2" s="11"/>
      <c r="D2" s="11"/>
      <c r="E2" s="1" t="s">
        <v>12</v>
      </c>
      <c r="F2" s="11"/>
      <c r="G2" s="11"/>
      <c r="H2" s="11"/>
      <c r="I2" s="11"/>
      <c r="J2" s="11"/>
      <c r="K2" s="11"/>
      <c r="L2" s="11"/>
      <c r="M2" s="11"/>
    </row>
    <row r="3" spans="1:13" x14ac:dyDescent="0.3">
      <c r="A3" s="9" t="s">
        <v>426</v>
      </c>
      <c r="B3" t="s">
        <v>431</v>
      </c>
      <c r="D3" t="s">
        <v>70</v>
      </c>
      <c r="E3" t="s">
        <v>71</v>
      </c>
      <c r="F3" t="s">
        <v>432</v>
      </c>
      <c r="G3" t="s">
        <v>219</v>
      </c>
      <c r="L3" t="s">
        <v>38</v>
      </c>
    </row>
    <row r="4" spans="1:13" x14ac:dyDescent="0.3">
      <c r="A4" s="9" t="s">
        <v>427</v>
      </c>
      <c r="B4" t="s">
        <v>431</v>
      </c>
      <c r="D4" t="s">
        <v>70</v>
      </c>
      <c r="E4" t="s">
        <v>71</v>
      </c>
      <c r="F4" t="s">
        <v>433</v>
      </c>
      <c r="G4" t="s">
        <v>219</v>
      </c>
      <c r="L4" t="s">
        <v>38</v>
      </c>
    </row>
    <row r="5" spans="1:13" x14ac:dyDescent="0.3">
      <c r="A5" s="9" t="s">
        <v>428</v>
      </c>
      <c r="B5" t="s">
        <v>431</v>
      </c>
      <c r="D5" t="s">
        <v>70</v>
      </c>
      <c r="E5" t="s">
        <v>71</v>
      </c>
      <c r="F5" t="s">
        <v>434</v>
      </c>
      <c r="G5" t="s">
        <v>219</v>
      </c>
      <c r="L5" t="s">
        <v>38</v>
      </c>
    </row>
    <row r="6" spans="1:13" x14ac:dyDescent="0.3">
      <c r="A6" s="9" t="s">
        <v>429</v>
      </c>
      <c r="B6" t="s">
        <v>431</v>
      </c>
      <c r="D6" t="s">
        <v>70</v>
      </c>
      <c r="E6" t="s">
        <v>71</v>
      </c>
      <c r="F6" t="s">
        <v>435</v>
      </c>
      <c r="G6" t="s">
        <v>219</v>
      </c>
      <c r="L6" t="s">
        <v>38</v>
      </c>
    </row>
    <row r="7" spans="1:13" x14ac:dyDescent="0.3">
      <c r="A7" s="9" t="s">
        <v>430</v>
      </c>
      <c r="B7" t="s">
        <v>431</v>
      </c>
      <c r="D7" t="s">
        <v>70</v>
      </c>
      <c r="E7" t="s">
        <v>71</v>
      </c>
      <c r="F7" t="s">
        <v>436</v>
      </c>
      <c r="G7" t="s">
        <v>219</v>
      </c>
      <c r="L7" t="s">
        <v>38</v>
      </c>
    </row>
  </sheetData>
  <mergeCells count="12">
    <mergeCell ref="L1:L2"/>
    <mergeCell ref="M1:M2"/>
    <mergeCell ref="G1:G2"/>
    <mergeCell ref="H1:H2"/>
    <mergeCell ref="I1:I2"/>
    <mergeCell ref="J1:J2"/>
    <mergeCell ref="K1:K2"/>
    <mergeCell ref="A1:A2"/>
    <mergeCell ref="B1:B2"/>
    <mergeCell ref="C1:C2"/>
    <mergeCell ref="D1:D2"/>
    <mergeCell ref="F1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C8918"/>
  </sheetPr>
  <dimension ref="A1:O35"/>
  <sheetViews>
    <sheetView workbookViewId="0"/>
  </sheetViews>
  <sheetFormatPr defaultRowHeight="13.8" x14ac:dyDescent="0.3"/>
  <cols>
    <col min="1" max="1" width="87.6640625" customWidth="1"/>
    <col min="2" max="2" width="23.6640625" customWidth="1"/>
    <col min="3" max="3" width="11.6640625" customWidth="1"/>
    <col min="4" max="4" width="18.6640625" customWidth="1"/>
    <col min="5" max="6" width="9.6640625" customWidth="1"/>
    <col min="7" max="7" width="7.6640625" customWidth="1"/>
    <col min="8" max="8" width="44.6640625" customWidth="1"/>
    <col min="9" max="9" width="16.6640625" customWidth="1"/>
    <col min="10" max="10" width="19.6640625" customWidth="1"/>
    <col min="11" max="11" width="27.6640625" customWidth="1"/>
    <col min="12" max="12" width="22.6640625" customWidth="1"/>
    <col min="13" max="13" width="26.6640625" customWidth="1"/>
    <col min="14" max="14" width="11.6640625" customWidth="1"/>
    <col min="15" max="15" width="12.6640625" customWidth="1"/>
  </cols>
  <sheetData>
    <row r="1" spans="1:15" x14ac:dyDescent="0.3">
      <c r="A1" s="11" t="s">
        <v>52</v>
      </c>
      <c r="B1" s="11" t="s">
        <v>53</v>
      </c>
      <c r="C1" s="11" t="s">
        <v>54</v>
      </c>
      <c r="D1" s="11" t="s">
        <v>55</v>
      </c>
      <c r="E1" s="11" t="s">
        <v>56</v>
      </c>
      <c r="F1" s="11"/>
      <c r="G1" s="11"/>
      <c r="H1" s="11" t="s">
        <v>57</v>
      </c>
      <c r="I1" s="11" t="s">
        <v>58</v>
      </c>
      <c r="J1" s="11" t="s">
        <v>59</v>
      </c>
      <c r="K1" s="11" t="s">
        <v>60</v>
      </c>
      <c r="L1" s="11" t="s">
        <v>61</v>
      </c>
      <c r="M1" s="11" t="s">
        <v>62</v>
      </c>
      <c r="N1" s="11" t="s">
        <v>3</v>
      </c>
      <c r="O1" s="11" t="s">
        <v>17</v>
      </c>
    </row>
    <row r="2" spans="1:15" x14ac:dyDescent="0.3">
      <c r="A2" s="11"/>
      <c r="B2" s="11"/>
      <c r="C2" s="11"/>
      <c r="D2" s="11"/>
      <c r="E2" s="1" t="s">
        <v>7</v>
      </c>
      <c r="F2" s="1" t="s">
        <v>9</v>
      </c>
      <c r="G2" s="1" t="s">
        <v>12</v>
      </c>
      <c r="H2" s="11"/>
      <c r="I2" s="11"/>
      <c r="J2" s="11"/>
      <c r="K2" s="11"/>
      <c r="L2" s="11"/>
      <c r="M2" s="11"/>
      <c r="N2" s="11"/>
      <c r="O2" s="11"/>
    </row>
    <row r="3" spans="1:15" x14ac:dyDescent="0.3">
      <c r="A3" s="9" t="s">
        <v>437</v>
      </c>
      <c r="B3" t="s">
        <v>470</v>
      </c>
      <c r="D3" t="s">
        <v>70</v>
      </c>
      <c r="E3" t="s">
        <v>71</v>
      </c>
      <c r="F3" t="s">
        <v>71</v>
      </c>
      <c r="H3" t="s">
        <v>482</v>
      </c>
      <c r="I3" t="s">
        <v>76</v>
      </c>
      <c r="N3" t="s">
        <v>28</v>
      </c>
    </row>
    <row r="4" spans="1:15" x14ac:dyDescent="0.3">
      <c r="A4" s="9" t="s">
        <v>438</v>
      </c>
      <c r="B4" t="s">
        <v>471</v>
      </c>
      <c r="D4" t="s">
        <v>70</v>
      </c>
      <c r="E4" t="s">
        <v>71</v>
      </c>
      <c r="F4" t="s">
        <v>71</v>
      </c>
      <c r="H4" t="s">
        <v>483</v>
      </c>
      <c r="I4" t="s">
        <v>76</v>
      </c>
      <c r="N4" t="s">
        <v>28</v>
      </c>
    </row>
    <row r="5" spans="1:15" x14ac:dyDescent="0.3">
      <c r="A5" s="9" t="s">
        <v>439</v>
      </c>
      <c r="B5" t="s">
        <v>472</v>
      </c>
      <c r="D5" t="s">
        <v>70</v>
      </c>
      <c r="E5" t="s">
        <v>71</v>
      </c>
      <c r="F5" t="s">
        <v>71</v>
      </c>
      <c r="H5" t="s">
        <v>484</v>
      </c>
      <c r="I5" t="s">
        <v>76</v>
      </c>
      <c r="N5" t="s">
        <v>28</v>
      </c>
    </row>
    <row r="6" spans="1:15" x14ac:dyDescent="0.3">
      <c r="A6" s="9" t="s">
        <v>440</v>
      </c>
      <c r="B6" t="s">
        <v>471</v>
      </c>
      <c r="D6" t="s">
        <v>70</v>
      </c>
      <c r="E6" t="s">
        <v>71</v>
      </c>
      <c r="F6" t="s">
        <v>71</v>
      </c>
      <c r="H6" t="s">
        <v>485</v>
      </c>
      <c r="I6" t="s">
        <v>76</v>
      </c>
      <c r="N6" t="s">
        <v>28</v>
      </c>
    </row>
    <row r="7" spans="1:15" x14ac:dyDescent="0.3">
      <c r="A7" s="9" t="s">
        <v>441</v>
      </c>
      <c r="B7" t="s">
        <v>470</v>
      </c>
      <c r="D7" t="s">
        <v>70</v>
      </c>
      <c r="E7" t="s">
        <v>71</v>
      </c>
      <c r="F7" t="s">
        <v>71</v>
      </c>
      <c r="H7" t="s">
        <v>486</v>
      </c>
      <c r="I7" t="s">
        <v>76</v>
      </c>
      <c r="N7" t="s">
        <v>28</v>
      </c>
    </row>
    <row r="8" spans="1:15" x14ac:dyDescent="0.3">
      <c r="A8" s="9" t="s">
        <v>442</v>
      </c>
      <c r="B8" t="s">
        <v>471</v>
      </c>
      <c r="D8" t="s">
        <v>70</v>
      </c>
      <c r="E8" t="s">
        <v>71</v>
      </c>
      <c r="F8" t="s">
        <v>71</v>
      </c>
      <c r="H8" t="s">
        <v>487</v>
      </c>
      <c r="I8" t="s">
        <v>76</v>
      </c>
      <c r="N8" t="s">
        <v>28</v>
      </c>
    </row>
    <row r="9" spans="1:15" x14ac:dyDescent="0.3">
      <c r="A9" s="9" t="s">
        <v>443</v>
      </c>
      <c r="B9" t="s">
        <v>473</v>
      </c>
      <c r="D9" t="s">
        <v>70</v>
      </c>
      <c r="E9" t="s">
        <v>71</v>
      </c>
      <c r="F9" t="s">
        <v>71</v>
      </c>
      <c r="H9" t="s">
        <v>488</v>
      </c>
      <c r="I9" t="s">
        <v>76</v>
      </c>
      <c r="N9" t="s">
        <v>28</v>
      </c>
    </row>
    <row r="10" spans="1:15" x14ac:dyDescent="0.3">
      <c r="A10" s="9" t="s">
        <v>444</v>
      </c>
      <c r="B10" t="s">
        <v>474</v>
      </c>
      <c r="D10" t="s">
        <v>70</v>
      </c>
      <c r="E10" t="s">
        <v>71</v>
      </c>
      <c r="F10" t="s">
        <v>71</v>
      </c>
      <c r="H10" t="s">
        <v>489</v>
      </c>
      <c r="I10" t="s">
        <v>76</v>
      </c>
      <c r="N10" t="s">
        <v>28</v>
      </c>
    </row>
    <row r="11" spans="1:15" x14ac:dyDescent="0.3">
      <c r="A11" s="9" t="s">
        <v>445</v>
      </c>
      <c r="B11" t="s">
        <v>475</v>
      </c>
      <c r="D11" t="s">
        <v>70</v>
      </c>
      <c r="E11" t="s">
        <v>71</v>
      </c>
      <c r="F11" t="s">
        <v>71</v>
      </c>
      <c r="H11" t="s">
        <v>490</v>
      </c>
      <c r="I11" t="s">
        <v>76</v>
      </c>
      <c r="N11" t="s">
        <v>28</v>
      </c>
    </row>
    <row r="12" spans="1:15" x14ac:dyDescent="0.3">
      <c r="A12" s="9" t="s">
        <v>446</v>
      </c>
      <c r="B12" t="s">
        <v>476</v>
      </c>
      <c r="D12" t="s">
        <v>70</v>
      </c>
      <c r="E12" t="s">
        <v>71</v>
      </c>
      <c r="F12" t="s">
        <v>71</v>
      </c>
      <c r="H12" t="s">
        <v>491</v>
      </c>
      <c r="I12" t="s">
        <v>76</v>
      </c>
      <c r="N12" t="s">
        <v>28</v>
      </c>
    </row>
    <row r="13" spans="1:15" x14ac:dyDescent="0.3">
      <c r="A13" s="9" t="s">
        <v>447</v>
      </c>
      <c r="B13" t="s">
        <v>471</v>
      </c>
      <c r="D13" t="s">
        <v>70</v>
      </c>
      <c r="E13" t="s">
        <v>71</v>
      </c>
      <c r="F13" t="s">
        <v>71</v>
      </c>
      <c r="H13" t="s">
        <v>492</v>
      </c>
      <c r="I13" t="s">
        <v>76</v>
      </c>
      <c r="N13" t="s">
        <v>28</v>
      </c>
    </row>
    <row r="14" spans="1:15" x14ac:dyDescent="0.3">
      <c r="A14" s="9" t="s">
        <v>448</v>
      </c>
      <c r="B14" t="s">
        <v>475</v>
      </c>
      <c r="D14" t="s">
        <v>70</v>
      </c>
      <c r="E14" t="s">
        <v>71</v>
      </c>
      <c r="F14" t="s">
        <v>71</v>
      </c>
      <c r="H14" t="s">
        <v>493</v>
      </c>
      <c r="I14" t="s">
        <v>76</v>
      </c>
      <c r="N14" t="s">
        <v>28</v>
      </c>
    </row>
    <row r="15" spans="1:15" x14ac:dyDescent="0.3">
      <c r="A15" s="9" t="s">
        <v>449</v>
      </c>
      <c r="B15" t="s">
        <v>476</v>
      </c>
      <c r="D15" t="s">
        <v>70</v>
      </c>
      <c r="E15" t="s">
        <v>71</v>
      </c>
      <c r="F15" t="s">
        <v>71</v>
      </c>
      <c r="H15" t="s">
        <v>494</v>
      </c>
      <c r="I15" t="s">
        <v>76</v>
      </c>
      <c r="N15" t="s">
        <v>28</v>
      </c>
    </row>
    <row r="16" spans="1:15" x14ac:dyDescent="0.3">
      <c r="A16" s="9" t="s">
        <v>450</v>
      </c>
      <c r="B16" t="s">
        <v>472</v>
      </c>
      <c r="D16" t="s">
        <v>70</v>
      </c>
      <c r="E16" t="s">
        <v>71</v>
      </c>
      <c r="F16" t="s">
        <v>71</v>
      </c>
      <c r="H16" t="s">
        <v>495</v>
      </c>
      <c r="I16" t="s">
        <v>76</v>
      </c>
      <c r="N16" t="s">
        <v>28</v>
      </c>
    </row>
    <row r="17" spans="1:14" x14ac:dyDescent="0.3">
      <c r="A17" s="9" t="s">
        <v>451</v>
      </c>
      <c r="B17" t="s">
        <v>475</v>
      </c>
      <c r="D17" t="s">
        <v>70</v>
      </c>
      <c r="E17" t="s">
        <v>71</v>
      </c>
      <c r="F17" t="s">
        <v>71</v>
      </c>
      <c r="H17" t="s">
        <v>496</v>
      </c>
      <c r="I17" t="s">
        <v>76</v>
      </c>
      <c r="N17" t="s">
        <v>28</v>
      </c>
    </row>
    <row r="18" spans="1:14" x14ac:dyDescent="0.3">
      <c r="A18" s="9" t="s">
        <v>452</v>
      </c>
      <c r="B18" t="s">
        <v>477</v>
      </c>
      <c r="D18" t="s">
        <v>70</v>
      </c>
      <c r="E18" t="s">
        <v>71</v>
      </c>
      <c r="F18" t="s">
        <v>71</v>
      </c>
      <c r="H18" t="s">
        <v>497</v>
      </c>
      <c r="I18" t="s">
        <v>76</v>
      </c>
      <c r="N18" t="s">
        <v>28</v>
      </c>
    </row>
    <row r="19" spans="1:14" x14ac:dyDescent="0.3">
      <c r="A19" s="9" t="s">
        <v>453</v>
      </c>
      <c r="B19" t="s">
        <v>475</v>
      </c>
      <c r="D19" t="s">
        <v>70</v>
      </c>
      <c r="E19" t="s">
        <v>71</v>
      </c>
      <c r="F19" t="s">
        <v>71</v>
      </c>
      <c r="H19" t="s">
        <v>498</v>
      </c>
      <c r="I19" t="s">
        <v>76</v>
      </c>
      <c r="N19" t="s">
        <v>28</v>
      </c>
    </row>
    <row r="20" spans="1:14" x14ac:dyDescent="0.3">
      <c r="A20" s="9" t="s">
        <v>454</v>
      </c>
      <c r="B20" t="s">
        <v>472</v>
      </c>
      <c r="D20" t="s">
        <v>70</v>
      </c>
      <c r="E20" t="s">
        <v>71</v>
      </c>
      <c r="F20" t="s">
        <v>71</v>
      </c>
      <c r="H20" t="s">
        <v>499</v>
      </c>
      <c r="I20" t="s">
        <v>76</v>
      </c>
      <c r="N20" t="s">
        <v>28</v>
      </c>
    </row>
    <row r="21" spans="1:14" x14ac:dyDescent="0.3">
      <c r="A21" s="9" t="s">
        <v>455</v>
      </c>
      <c r="B21" t="s">
        <v>475</v>
      </c>
      <c r="D21" t="s">
        <v>70</v>
      </c>
      <c r="E21" t="s">
        <v>71</v>
      </c>
      <c r="F21" t="s">
        <v>71</v>
      </c>
      <c r="H21" t="s">
        <v>500</v>
      </c>
      <c r="I21" t="s">
        <v>76</v>
      </c>
      <c r="N21" t="s">
        <v>28</v>
      </c>
    </row>
    <row r="22" spans="1:14" x14ac:dyDescent="0.3">
      <c r="A22" s="9" t="s">
        <v>456</v>
      </c>
      <c r="B22" t="s">
        <v>475</v>
      </c>
      <c r="D22" t="s">
        <v>70</v>
      </c>
      <c r="E22" t="s">
        <v>71</v>
      </c>
      <c r="F22" t="s">
        <v>71</v>
      </c>
      <c r="H22" t="s">
        <v>501</v>
      </c>
      <c r="I22" t="s">
        <v>76</v>
      </c>
      <c r="N22" t="s">
        <v>28</v>
      </c>
    </row>
    <row r="23" spans="1:14" x14ac:dyDescent="0.3">
      <c r="A23" s="9" t="s">
        <v>457</v>
      </c>
      <c r="B23" t="s">
        <v>474</v>
      </c>
      <c r="D23" t="s">
        <v>70</v>
      </c>
      <c r="E23" t="s">
        <v>71</v>
      </c>
      <c r="F23" t="s">
        <v>71</v>
      </c>
      <c r="H23" t="s">
        <v>502</v>
      </c>
      <c r="I23" t="s">
        <v>76</v>
      </c>
      <c r="N23" t="s">
        <v>28</v>
      </c>
    </row>
    <row r="24" spans="1:14" x14ac:dyDescent="0.3">
      <c r="A24" s="9" t="s">
        <v>458</v>
      </c>
      <c r="B24" t="s">
        <v>478</v>
      </c>
      <c r="D24" t="s">
        <v>70</v>
      </c>
      <c r="E24" t="s">
        <v>71</v>
      </c>
      <c r="F24" t="s">
        <v>71</v>
      </c>
      <c r="H24" t="s">
        <v>503</v>
      </c>
      <c r="I24" t="s">
        <v>76</v>
      </c>
      <c r="N24" t="s">
        <v>28</v>
      </c>
    </row>
    <row r="25" spans="1:14" x14ac:dyDescent="0.3">
      <c r="A25" s="9" t="s">
        <v>459</v>
      </c>
      <c r="B25" t="s">
        <v>479</v>
      </c>
      <c r="D25" t="s">
        <v>70</v>
      </c>
      <c r="E25" t="s">
        <v>71</v>
      </c>
      <c r="F25" t="s">
        <v>71</v>
      </c>
      <c r="H25" t="s">
        <v>504</v>
      </c>
      <c r="I25" t="s">
        <v>76</v>
      </c>
      <c r="N25" t="s">
        <v>28</v>
      </c>
    </row>
    <row r="26" spans="1:14" x14ac:dyDescent="0.3">
      <c r="A26" s="9" t="s">
        <v>460</v>
      </c>
      <c r="B26" t="s">
        <v>470</v>
      </c>
      <c r="D26" t="s">
        <v>70</v>
      </c>
      <c r="E26" t="s">
        <v>71</v>
      </c>
      <c r="F26" t="s">
        <v>71</v>
      </c>
      <c r="H26" t="s">
        <v>505</v>
      </c>
      <c r="I26" t="s">
        <v>76</v>
      </c>
      <c r="N26" t="s">
        <v>28</v>
      </c>
    </row>
    <row r="27" spans="1:14" x14ac:dyDescent="0.3">
      <c r="A27" s="9" t="s">
        <v>461</v>
      </c>
      <c r="B27" t="s">
        <v>477</v>
      </c>
      <c r="D27" t="s">
        <v>70</v>
      </c>
      <c r="E27" t="s">
        <v>71</v>
      </c>
      <c r="F27" t="s">
        <v>71</v>
      </c>
      <c r="H27" t="s">
        <v>506</v>
      </c>
      <c r="I27" t="s">
        <v>76</v>
      </c>
      <c r="N27" t="s">
        <v>28</v>
      </c>
    </row>
    <row r="28" spans="1:14" x14ac:dyDescent="0.3">
      <c r="A28" s="9" t="s">
        <v>462</v>
      </c>
      <c r="B28" t="s">
        <v>475</v>
      </c>
      <c r="D28" t="s">
        <v>70</v>
      </c>
      <c r="E28" t="s">
        <v>71</v>
      </c>
      <c r="F28" t="s">
        <v>71</v>
      </c>
      <c r="H28" t="s">
        <v>507</v>
      </c>
      <c r="I28" t="s">
        <v>76</v>
      </c>
      <c r="N28" t="s">
        <v>28</v>
      </c>
    </row>
    <row r="29" spans="1:14" x14ac:dyDescent="0.3">
      <c r="A29" s="9" t="s">
        <v>463</v>
      </c>
      <c r="B29" t="s">
        <v>475</v>
      </c>
      <c r="D29" t="s">
        <v>70</v>
      </c>
      <c r="E29" t="s">
        <v>71</v>
      </c>
      <c r="F29" t="s">
        <v>71</v>
      </c>
      <c r="H29" t="s">
        <v>508</v>
      </c>
      <c r="I29" t="s">
        <v>76</v>
      </c>
      <c r="N29" t="s">
        <v>28</v>
      </c>
    </row>
    <row r="30" spans="1:14" x14ac:dyDescent="0.3">
      <c r="A30" s="9" t="s">
        <v>464</v>
      </c>
      <c r="B30" t="s">
        <v>475</v>
      </c>
      <c r="D30" t="s">
        <v>70</v>
      </c>
      <c r="E30" t="s">
        <v>71</v>
      </c>
      <c r="F30" t="s">
        <v>71</v>
      </c>
      <c r="H30" t="s">
        <v>509</v>
      </c>
      <c r="I30" t="s">
        <v>76</v>
      </c>
      <c r="N30" t="s">
        <v>28</v>
      </c>
    </row>
    <row r="31" spans="1:14" x14ac:dyDescent="0.3">
      <c r="A31" s="9" t="s">
        <v>465</v>
      </c>
      <c r="B31" t="s">
        <v>473</v>
      </c>
      <c r="D31" t="s">
        <v>70</v>
      </c>
      <c r="E31" t="s">
        <v>71</v>
      </c>
      <c r="F31" t="s">
        <v>71</v>
      </c>
      <c r="H31" t="s">
        <v>510</v>
      </c>
      <c r="I31" t="s">
        <v>76</v>
      </c>
      <c r="N31" t="s">
        <v>28</v>
      </c>
    </row>
    <row r="32" spans="1:14" x14ac:dyDescent="0.3">
      <c r="A32" s="9" t="s">
        <v>466</v>
      </c>
      <c r="B32" t="s">
        <v>473</v>
      </c>
      <c r="D32" t="s">
        <v>70</v>
      </c>
      <c r="E32" t="s">
        <v>71</v>
      </c>
      <c r="F32" t="s">
        <v>71</v>
      </c>
      <c r="H32" t="s">
        <v>511</v>
      </c>
      <c r="I32" t="s">
        <v>76</v>
      </c>
      <c r="N32" t="s">
        <v>28</v>
      </c>
    </row>
    <row r="33" spans="1:14" x14ac:dyDescent="0.3">
      <c r="A33" s="9" t="s">
        <v>467</v>
      </c>
      <c r="B33" t="s">
        <v>473</v>
      </c>
      <c r="D33" t="s">
        <v>70</v>
      </c>
      <c r="E33" t="s">
        <v>71</v>
      </c>
      <c r="F33" t="s">
        <v>71</v>
      </c>
      <c r="H33" t="s">
        <v>512</v>
      </c>
      <c r="I33" t="s">
        <v>76</v>
      </c>
      <c r="N33" t="s">
        <v>28</v>
      </c>
    </row>
    <row r="34" spans="1:14" x14ac:dyDescent="0.3">
      <c r="A34" s="9" t="s">
        <v>468</v>
      </c>
      <c r="B34" t="s">
        <v>480</v>
      </c>
      <c r="D34" t="s">
        <v>70</v>
      </c>
      <c r="G34" t="s">
        <v>71</v>
      </c>
      <c r="H34" t="s">
        <v>513</v>
      </c>
      <c r="N34" t="s">
        <v>28</v>
      </c>
    </row>
    <row r="35" spans="1:14" x14ac:dyDescent="0.3">
      <c r="A35" s="9" t="s">
        <v>469</v>
      </c>
      <c r="B35" t="s">
        <v>481</v>
      </c>
      <c r="D35" t="s">
        <v>70</v>
      </c>
      <c r="G35" t="s">
        <v>71</v>
      </c>
      <c r="H35" t="s">
        <v>514</v>
      </c>
      <c r="N35" t="s">
        <v>28</v>
      </c>
    </row>
  </sheetData>
  <mergeCells count="13">
    <mergeCell ref="M1:M2"/>
    <mergeCell ref="N1:N2"/>
    <mergeCell ref="O1:O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C8918"/>
  </sheetPr>
  <dimension ref="A1:P19"/>
  <sheetViews>
    <sheetView workbookViewId="0"/>
  </sheetViews>
  <sheetFormatPr defaultRowHeight="13.8" x14ac:dyDescent="0.3"/>
  <cols>
    <col min="1" max="1" width="82.6640625" customWidth="1"/>
    <col min="2" max="2" width="23.6640625" customWidth="1"/>
    <col min="3" max="3" width="11.6640625" customWidth="1"/>
    <col min="4" max="4" width="18.6640625" customWidth="1"/>
    <col min="5" max="7" width="7.6640625" customWidth="1"/>
    <col min="8" max="8" width="14.6640625" customWidth="1"/>
    <col min="9" max="9" width="44.6640625" customWidth="1"/>
    <col min="10" max="10" width="16.6640625" customWidth="1"/>
    <col min="11" max="11" width="44.6640625" customWidth="1"/>
    <col min="12" max="12" width="27.6640625" customWidth="1"/>
    <col min="13" max="13" width="22.6640625" customWidth="1"/>
    <col min="14" max="14" width="26.6640625" customWidth="1"/>
    <col min="15" max="15" width="11.6640625" customWidth="1"/>
    <col min="16" max="16" width="12.6640625" customWidth="1"/>
  </cols>
  <sheetData>
    <row r="1" spans="1:16" x14ac:dyDescent="0.3">
      <c r="A1" s="11" t="s">
        <v>52</v>
      </c>
      <c r="B1" s="11" t="s">
        <v>53</v>
      </c>
      <c r="C1" s="11" t="s">
        <v>54</v>
      </c>
      <c r="D1" s="11" t="s">
        <v>55</v>
      </c>
      <c r="E1" s="11" t="s">
        <v>56</v>
      </c>
      <c r="F1" s="11"/>
      <c r="G1" s="11"/>
      <c r="H1" s="11"/>
      <c r="I1" s="11" t="s">
        <v>57</v>
      </c>
      <c r="J1" s="11" t="s">
        <v>58</v>
      </c>
      <c r="K1" s="11" t="s">
        <v>59</v>
      </c>
      <c r="L1" s="11" t="s">
        <v>60</v>
      </c>
      <c r="M1" s="11" t="s">
        <v>61</v>
      </c>
      <c r="N1" s="11" t="s">
        <v>62</v>
      </c>
      <c r="O1" s="11" t="s">
        <v>3</v>
      </c>
      <c r="P1" s="11" t="s">
        <v>17</v>
      </c>
    </row>
    <row r="2" spans="1:16" x14ac:dyDescent="0.3">
      <c r="A2" s="11"/>
      <c r="B2" s="11"/>
      <c r="C2" s="11"/>
      <c r="D2" s="11"/>
      <c r="E2" s="1" t="s">
        <v>11</v>
      </c>
      <c r="F2" s="1" t="s">
        <v>12</v>
      </c>
      <c r="G2" s="1" t="s">
        <v>15</v>
      </c>
      <c r="H2" s="1" t="s">
        <v>16</v>
      </c>
      <c r="I2" s="11"/>
      <c r="J2" s="11"/>
      <c r="K2" s="11"/>
      <c r="L2" s="11"/>
      <c r="M2" s="11"/>
      <c r="N2" s="11"/>
      <c r="O2" s="11"/>
      <c r="P2" s="11"/>
    </row>
    <row r="3" spans="1:16" x14ac:dyDescent="0.3">
      <c r="A3" s="9" t="s">
        <v>515</v>
      </c>
      <c r="B3" t="s">
        <v>532</v>
      </c>
      <c r="D3" t="s">
        <v>70</v>
      </c>
      <c r="E3" t="s">
        <v>71</v>
      </c>
      <c r="I3" t="s">
        <v>538</v>
      </c>
      <c r="J3" t="s">
        <v>76</v>
      </c>
      <c r="O3" t="s">
        <v>39</v>
      </c>
    </row>
    <row r="4" spans="1:16" x14ac:dyDescent="0.3">
      <c r="A4" s="9" t="s">
        <v>516</v>
      </c>
      <c r="B4" t="s">
        <v>533</v>
      </c>
      <c r="D4" t="s">
        <v>70</v>
      </c>
      <c r="E4" t="s">
        <v>71</v>
      </c>
      <c r="I4" t="s">
        <v>539</v>
      </c>
      <c r="J4" t="s">
        <v>76</v>
      </c>
      <c r="O4" t="s">
        <v>40</v>
      </c>
    </row>
    <row r="5" spans="1:16" x14ac:dyDescent="0.3">
      <c r="A5" s="9" t="s">
        <v>517</v>
      </c>
      <c r="B5" t="s">
        <v>533</v>
      </c>
      <c r="D5" t="s">
        <v>70</v>
      </c>
      <c r="E5" t="s">
        <v>71</v>
      </c>
      <c r="I5" t="s">
        <v>540</v>
      </c>
      <c r="J5" t="s">
        <v>76</v>
      </c>
      <c r="O5" t="s">
        <v>40</v>
      </c>
    </row>
    <row r="6" spans="1:16" x14ac:dyDescent="0.3">
      <c r="A6" s="9" t="s">
        <v>518</v>
      </c>
      <c r="B6" t="s">
        <v>534</v>
      </c>
      <c r="D6" t="s">
        <v>70</v>
      </c>
      <c r="E6" t="s">
        <v>71</v>
      </c>
      <c r="I6" t="s">
        <v>541</v>
      </c>
      <c r="J6" t="s">
        <v>76</v>
      </c>
      <c r="O6" t="s">
        <v>41</v>
      </c>
    </row>
    <row r="7" spans="1:16" x14ac:dyDescent="0.3">
      <c r="A7" s="10" t="s">
        <v>519</v>
      </c>
      <c r="B7" t="s">
        <v>533</v>
      </c>
      <c r="D7" t="s">
        <v>70</v>
      </c>
      <c r="E7" t="s">
        <v>71</v>
      </c>
      <c r="I7" t="s">
        <v>542</v>
      </c>
      <c r="J7" t="s">
        <v>77</v>
      </c>
      <c r="K7" t="s">
        <v>555</v>
      </c>
      <c r="L7" t="s">
        <v>81</v>
      </c>
      <c r="O7" t="s">
        <v>40</v>
      </c>
    </row>
    <row r="8" spans="1:16" x14ac:dyDescent="0.3">
      <c r="A8" s="9" t="s">
        <v>520</v>
      </c>
      <c r="B8" t="s">
        <v>535</v>
      </c>
      <c r="D8" t="s">
        <v>70</v>
      </c>
      <c r="E8" t="s">
        <v>71</v>
      </c>
      <c r="I8" t="s">
        <v>543</v>
      </c>
      <c r="J8" t="s">
        <v>76</v>
      </c>
      <c r="O8" t="s">
        <v>40</v>
      </c>
    </row>
    <row r="9" spans="1:16" x14ac:dyDescent="0.3">
      <c r="A9" s="9" t="s">
        <v>521</v>
      </c>
      <c r="B9" t="s">
        <v>532</v>
      </c>
      <c r="D9" t="s">
        <v>70</v>
      </c>
      <c r="E9" t="s">
        <v>71</v>
      </c>
      <c r="I9" t="s">
        <v>544</v>
      </c>
      <c r="J9" t="s">
        <v>76</v>
      </c>
      <c r="O9" t="s">
        <v>39</v>
      </c>
    </row>
    <row r="10" spans="1:16" x14ac:dyDescent="0.3">
      <c r="A10" s="9" t="s">
        <v>522</v>
      </c>
      <c r="B10" t="s">
        <v>532</v>
      </c>
      <c r="D10" t="s">
        <v>70</v>
      </c>
      <c r="E10" t="s">
        <v>71</v>
      </c>
      <c r="I10" t="s">
        <v>545</v>
      </c>
      <c r="J10" t="s">
        <v>76</v>
      </c>
      <c r="O10" t="s">
        <v>39</v>
      </c>
    </row>
    <row r="11" spans="1:16" x14ac:dyDescent="0.3">
      <c r="A11" s="9" t="s">
        <v>523</v>
      </c>
      <c r="B11" t="s">
        <v>532</v>
      </c>
      <c r="D11" t="s">
        <v>70</v>
      </c>
      <c r="E11" t="s">
        <v>71</v>
      </c>
      <c r="I11" t="s">
        <v>546</v>
      </c>
      <c r="J11" t="s">
        <v>76</v>
      </c>
      <c r="O11" t="s">
        <v>39</v>
      </c>
    </row>
    <row r="12" spans="1:16" x14ac:dyDescent="0.3">
      <c r="A12" s="9" t="s">
        <v>524</v>
      </c>
      <c r="B12" t="s">
        <v>532</v>
      </c>
      <c r="D12" t="s">
        <v>70</v>
      </c>
      <c r="E12" t="s">
        <v>71</v>
      </c>
      <c r="I12" t="s">
        <v>547</v>
      </c>
      <c r="J12" t="s">
        <v>76</v>
      </c>
      <c r="O12" t="s">
        <v>39</v>
      </c>
    </row>
    <row r="13" spans="1:16" x14ac:dyDescent="0.3">
      <c r="A13" s="9" t="s">
        <v>525</v>
      </c>
      <c r="B13" t="s">
        <v>533</v>
      </c>
      <c r="D13" t="s">
        <v>70</v>
      </c>
      <c r="E13" t="s">
        <v>71</v>
      </c>
      <c r="I13" t="s">
        <v>548</v>
      </c>
      <c r="J13" t="s">
        <v>76</v>
      </c>
      <c r="O13" t="s">
        <v>40</v>
      </c>
    </row>
    <row r="14" spans="1:16" x14ac:dyDescent="0.3">
      <c r="A14" s="10" t="s">
        <v>526</v>
      </c>
      <c r="B14" t="s">
        <v>533</v>
      </c>
      <c r="D14" t="s">
        <v>70</v>
      </c>
      <c r="E14" t="s">
        <v>71</v>
      </c>
      <c r="I14" t="s">
        <v>549</v>
      </c>
      <c r="J14" t="s">
        <v>77</v>
      </c>
      <c r="K14" t="s">
        <v>556</v>
      </c>
      <c r="L14" t="s">
        <v>81</v>
      </c>
      <c r="O14" t="s">
        <v>40</v>
      </c>
    </row>
    <row r="15" spans="1:16" x14ac:dyDescent="0.3">
      <c r="A15" s="9" t="s">
        <v>527</v>
      </c>
      <c r="B15" t="s">
        <v>536</v>
      </c>
      <c r="D15" t="s">
        <v>70</v>
      </c>
      <c r="E15" t="s">
        <v>71</v>
      </c>
      <c r="F15" t="s">
        <v>71</v>
      </c>
      <c r="G15" t="s">
        <v>71</v>
      </c>
      <c r="I15" t="s">
        <v>550</v>
      </c>
      <c r="J15" t="s">
        <v>76</v>
      </c>
      <c r="O15" t="s">
        <v>27</v>
      </c>
    </row>
    <row r="16" spans="1:16" x14ac:dyDescent="0.3">
      <c r="A16" s="9" t="s">
        <v>528</v>
      </c>
      <c r="B16" t="s">
        <v>533</v>
      </c>
      <c r="D16" t="s">
        <v>70</v>
      </c>
      <c r="H16" t="s">
        <v>71</v>
      </c>
      <c r="I16" t="s">
        <v>551</v>
      </c>
      <c r="J16" t="s">
        <v>76</v>
      </c>
      <c r="O16" t="s">
        <v>40</v>
      </c>
    </row>
    <row r="17" spans="1:15" x14ac:dyDescent="0.3">
      <c r="A17" s="9" t="s">
        <v>529</v>
      </c>
      <c r="B17" t="s">
        <v>537</v>
      </c>
      <c r="D17" t="s">
        <v>70</v>
      </c>
      <c r="H17" t="s">
        <v>71</v>
      </c>
      <c r="I17" t="s">
        <v>552</v>
      </c>
      <c r="J17" t="s">
        <v>76</v>
      </c>
      <c r="O17" t="s">
        <v>27</v>
      </c>
    </row>
    <row r="18" spans="1:15" x14ac:dyDescent="0.3">
      <c r="A18" s="9" t="s">
        <v>530</v>
      </c>
      <c r="B18" t="s">
        <v>533</v>
      </c>
      <c r="D18" t="s">
        <v>70</v>
      </c>
      <c r="H18" t="s">
        <v>71</v>
      </c>
      <c r="I18" t="s">
        <v>553</v>
      </c>
      <c r="J18" t="s">
        <v>76</v>
      </c>
      <c r="O18" t="s">
        <v>40</v>
      </c>
    </row>
    <row r="19" spans="1:15" x14ac:dyDescent="0.3">
      <c r="A19" s="9" t="s">
        <v>531</v>
      </c>
      <c r="B19" t="s">
        <v>533</v>
      </c>
      <c r="D19" t="s">
        <v>70</v>
      </c>
      <c r="H19" t="s">
        <v>71</v>
      </c>
      <c r="I19" t="s">
        <v>554</v>
      </c>
      <c r="J19" t="s">
        <v>76</v>
      </c>
      <c r="O19" t="s">
        <v>40</v>
      </c>
    </row>
  </sheetData>
  <mergeCells count="13">
    <mergeCell ref="N1:N2"/>
    <mergeCell ref="O1:O2"/>
    <mergeCell ref="P1:P2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E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C8918"/>
  </sheetPr>
  <dimension ref="A1:M4"/>
  <sheetViews>
    <sheetView workbookViewId="0"/>
  </sheetViews>
  <sheetFormatPr defaultRowHeight="13.8" x14ac:dyDescent="0.3"/>
  <cols>
    <col min="1" max="1" width="64.6640625" customWidth="1"/>
    <col min="2" max="2" width="23.6640625" customWidth="1"/>
    <col min="3" max="3" width="11.6640625" customWidth="1"/>
    <col min="4" max="4" width="18.6640625" customWidth="1"/>
    <col min="5" max="5" width="7.6640625" customWidth="1"/>
    <col min="6" max="6" width="44.6640625" customWidth="1"/>
    <col min="7" max="7" width="11.6640625" customWidth="1"/>
    <col min="8" max="8" width="44.6640625" customWidth="1"/>
    <col min="9" max="9" width="27.6640625" customWidth="1"/>
    <col min="10" max="10" width="22.6640625" customWidth="1"/>
    <col min="11" max="11" width="26.6640625" customWidth="1"/>
    <col min="12" max="12" width="31.6640625" customWidth="1"/>
    <col min="13" max="13" width="12.6640625" customWidth="1"/>
  </cols>
  <sheetData>
    <row r="1" spans="1:13" x14ac:dyDescent="0.3">
      <c r="A1" s="11" t="s">
        <v>52</v>
      </c>
      <c r="B1" s="11" t="s">
        <v>53</v>
      </c>
      <c r="C1" s="11" t="s">
        <v>54</v>
      </c>
      <c r="D1" s="11" t="s">
        <v>55</v>
      </c>
      <c r="E1" s="1" t="s">
        <v>56</v>
      </c>
      <c r="F1" s="11" t="s">
        <v>57</v>
      </c>
      <c r="G1" s="11" t="s">
        <v>58</v>
      </c>
      <c r="H1" s="11" t="s">
        <v>59</v>
      </c>
      <c r="I1" s="11" t="s">
        <v>60</v>
      </c>
      <c r="J1" s="11" t="s">
        <v>61</v>
      </c>
      <c r="K1" s="11" t="s">
        <v>62</v>
      </c>
      <c r="L1" s="11" t="s">
        <v>3</v>
      </c>
      <c r="M1" s="11" t="s">
        <v>17</v>
      </c>
    </row>
    <row r="2" spans="1:13" x14ac:dyDescent="0.3">
      <c r="A2" s="11"/>
      <c r="B2" s="11"/>
      <c r="C2" s="11"/>
      <c r="D2" s="11"/>
      <c r="E2" s="1" t="s">
        <v>15</v>
      </c>
      <c r="F2" s="11"/>
      <c r="G2" s="11"/>
      <c r="H2" s="11"/>
      <c r="I2" s="11"/>
      <c r="J2" s="11"/>
      <c r="K2" s="11"/>
      <c r="L2" s="11"/>
      <c r="M2" s="11"/>
    </row>
    <row r="3" spans="1:13" x14ac:dyDescent="0.3">
      <c r="A3" s="10" t="s">
        <v>557</v>
      </c>
      <c r="B3" t="s">
        <v>559</v>
      </c>
      <c r="D3" t="s">
        <v>70</v>
      </c>
      <c r="E3" t="s">
        <v>71</v>
      </c>
      <c r="F3" t="s">
        <v>560</v>
      </c>
      <c r="G3" t="s">
        <v>77</v>
      </c>
      <c r="H3" t="s">
        <v>562</v>
      </c>
      <c r="I3" t="s">
        <v>81</v>
      </c>
      <c r="L3" t="s">
        <v>564</v>
      </c>
    </row>
    <row r="4" spans="1:13" x14ac:dyDescent="0.3">
      <c r="A4" s="10" t="s">
        <v>558</v>
      </c>
      <c r="B4" t="s">
        <v>559</v>
      </c>
      <c r="D4" t="s">
        <v>70</v>
      </c>
      <c r="E4" t="s">
        <v>71</v>
      </c>
      <c r="F4" t="s">
        <v>561</v>
      </c>
      <c r="G4" t="s">
        <v>77</v>
      </c>
      <c r="H4" t="s">
        <v>563</v>
      </c>
      <c r="I4" t="s">
        <v>81</v>
      </c>
      <c r="L4" t="s">
        <v>564</v>
      </c>
    </row>
  </sheetData>
  <mergeCells count="12">
    <mergeCell ref="L1:L2"/>
    <mergeCell ref="M1:M2"/>
    <mergeCell ref="G1:G2"/>
    <mergeCell ref="H1:H2"/>
    <mergeCell ref="I1:I2"/>
    <mergeCell ref="J1:J2"/>
    <mergeCell ref="K1:K2"/>
    <mergeCell ref="A1:A2"/>
    <mergeCell ref="B1:B2"/>
    <mergeCell ref="C1:C2"/>
    <mergeCell ref="D1:D2"/>
    <mergeCell ref="F1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C8918"/>
  </sheetPr>
  <dimension ref="A1:M7"/>
  <sheetViews>
    <sheetView workbookViewId="0"/>
  </sheetViews>
  <sheetFormatPr defaultRowHeight="13.8" x14ac:dyDescent="0.3"/>
  <cols>
    <col min="1" max="1" width="71.6640625" customWidth="1"/>
    <col min="2" max="2" width="23.6640625" customWidth="1"/>
    <col min="3" max="3" width="11.6640625" customWidth="1"/>
    <col min="4" max="4" width="18.6640625" customWidth="1"/>
    <col min="5" max="5" width="7.6640625" customWidth="1"/>
    <col min="6" max="6" width="44.6640625" customWidth="1"/>
    <col min="7" max="7" width="16.6640625" customWidth="1"/>
    <col min="8" max="8" width="44.6640625" customWidth="1"/>
    <col min="9" max="9" width="27.6640625" customWidth="1"/>
    <col min="10" max="10" width="22.6640625" customWidth="1"/>
    <col min="11" max="11" width="26.6640625" customWidth="1"/>
    <col min="12" max="12" width="11.6640625" customWidth="1"/>
    <col min="13" max="13" width="12.6640625" customWidth="1"/>
  </cols>
  <sheetData>
    <row r="1" spans="1:13" x14ac:dyDescent="0.3">
      <c r="A1" s="11" t="s">
        <v>52</v>
      </c>
      <c r="B1" s="11" t="s">
        <v>53</v>
      </c>
      <c r="C1" s="11" t="s">
        <v>54</v>
      </c>
      <c r="D1" s="11" t="s">
        <v>55</v>
      </c>
      <c r="E1" s="1" t="s">
        <v>56</v>
      </c>
      <c r="F1" s="11" t="s">
        <v>57</v>
      </c>
      <c r="G1" s="11" t="s">
        <v>58</v>
      </c>
      <c r="H1" s="11" t="s">
        <v>59</v>
      </c>
      <c r="I1" s="11" t="s">
        <v>60</v>
      </c>
      <c r="J1" s="11" t="s">
        <v>61</v>
      </c>
      <c r="K1" s="11" t="s">
        <v>62</v>
      </c>
      <c r="L1" s="11" t="s">
        <v>3</v>
      </c>
      <c r="M1" s="11" t="s">
        <v>17</v>
      </c>
    </row>
    <row r="2" spans="1:13" x14ac:dyDescent="0.3">
      <c r="A2" s="11"/>
      <c r="B2" s="11"/>
      <c r="C2" s="11"/>
      <c r="D2" s="11"/>
      <c r="E2" s="1" t="s">
        <v>15</v>
      </c>
      <c r="F2" s="11"/>
      <c r="G2" s="11"/>
      <c r="H2" s="11"/>
      <c r="I2" s="11"/>
      <c r="J2" s="11"/>
      <c r="K2" s="11"/>
      <c r="L2" s="11"/>
      <c r="M2" s="11"/>
    </row>
    <row r="3" spans="1:13" x14ac:dyDescent="0.3">
      <c r="A3" s="9" t="s">
        <v>565</v>
      </c>
      <c r="B3" t="s">
        <v>570</v>
      </c>
      <c r="D3" t="s">
        <v>70</v>
      </c>
      <c r="E3" t="s">
        <v>71</v>
      </c>
      <c r="F3" t="s">
        <v>573</v>
      </c>
      <c r="G3" t="s">
        <v>76</v>
      </c>
      <c r="L3" t="s">
        <v>23</v>
      </c>
    </row>
    <row r="4" spans="1:13" x14ac:dyDescent="0.3">
      <c r="A4" s="9" t="s">
        <v>566</v>
      </c>
      <c r="B4" t="s">
        <v>271</v>
      </c>
      <c r="D4" t="s">
        <v>70</v>
      </c>
      <c r="E4" t="s">
        <v>71</v>
      </c>
      <c r="F4" t="s">
        <v>574</v>
      </c>
      <c r="G4" t="s">
        <v>76</v>
      </c>
      <c r="L4" t="s">
        <v>23</v>
      </c>
    </row>
    <row r="5" spans="1:13" x14ac:dyDescent="0.3">
      <c r="A5" s="10" t="s">
        <v>567</v>
      </c>
      <c r="B5" t="s">
        <v>571</v>
      </c>
      <c r="D5" t="s">
        <v>70</v>
      </c>
      <c r="E5" t="s">
        <v>71</v>
      </c>
      <c r="F5" t="s">
        <v>575</v>
      </c>
      <c r="G5" t="s">
        <v>77</v>
      </c>
      <c r="H5" t="s">
        <v>578</v>
      </c>
      <c r="I5" t="s">
        <v>81</v>
      </c>
      <c r="L5" t="s">
        <v>23</v>
      </c>
    </row>
    <row r="6" spans="1:13" x14ac:dyDescent="0.3">
      <c r="A6" s="9" t="s">
        <v>568</v>
      </c>
      <c r="B6" t="s">
        <v>571</v>
      </c>
      <c r="D6" t="s">
        <v>70</v>
      </c>
      <c r="E6" t="s">
        <v>71</v>
      </c>
      <c r="F6" t="s">
        <v>576</v>
      </c>
      <c r="G6" t="s">
        <v>76</v>
      </c>
      <c r="L6" t="s">
        <v>23</v>
      </c>
    </row>
    <row r="7" spans="1:13" x14ac:dyDescent="0.3">
      <c r="A7" s="9" t="s">
        <v>569</v>
      </c>
      <c r="B7" t="s">
        <v>572</v>
      </c>
      <c r="D7" t="s">
        <v>70</v>
      </c>
      <c r="E7" t="s">
        <v>71</v>
      </c>
      <c r="F7" t="s">
        <v>577</v>
      </c>
      <c r="G7" t="s">
        <v>76</v>
      </c>
      <c r="L7" t="s">
        <v>23</v>
      </c>
    </row>
  </sheetData>
  <mergeCells count="12">
    <mergeCell ref="L1:L2"/>
    <mergeCell ref="M1:M2"/>
    <mergeCell ref="G1:G2"/>
    <mergeCell ref="H1:H2"/>
    <mergeCell ref="I1:I2"/>
    <mergeCell ref="J1:J2"/>
    <mergeCell ref="K1:K2"/>
    <mergeCell ref="A1:A2"/>
    <mergeCell ref="B1:B2"/>
    <mergeCell ref="C1:C2"/>
    <mergeCell ref="D1:D2"/>
    <mergeCell ref="F1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C8918"/>
  </sheetPr>
  <dimension ref="A1:M3"/>
  <sheetViews>
    <sheetView workbookViewId="0"/>
  </sheetViews>
  <sheetFormatPr defaultRowHeight="13.8" x14ac:dyDescent="0.3"/>
  <cols>
    <col min="1" max="1" width="48.6640625" customWidth="1"/>
    <col min="2" max="2" width="23.6640625" customWidth="1"/>
    <col min="3" max="3" width="11.6640625" customWidth="1"/>
    <col min="4" max="4" width="18.6640625" customWidth="1"/>
    <col min="5" max="5" width="7.6640625" customWidth="1"/>
    <col min="6" max="6" width="44.6640625" customWidth="1"/>
    <col min="7" max="7" width="11.6640625" customWidth="1"/>
    <col min="8" max="8" width="44.6640625" customWidth="1"/>
    <col min="9" max="9" width="27.6640625" customWidth="1"/>
    <col min="10" max="10" width="22.6640625" customWidth="1"/>
    <col min="11" max="11" width="26.6640625" customWidth="1"/>
    <col min="12" max="12" width="11.6640625" customWidth="1"/>
    <col min="13" max="13" width="12.6640625" customWidth="1"/>
  </cols>
  <sheetData>
    <row r="1" spans="1:13" x14ac:dyDescent="0.3">
      <c r="A1" s="11" t="s">
        <v>52</v>
      </c>
      <c r="B1" s="11" t="s">
        <v>53</v>
      </c>
      <c r="C1" s="11" t="s">
        <v>54</v>
      </c>
      <c r="D1" s="11" t="s">
        <v>55</v>
      </c>
      <c r="E1" s="1" t="s">
        <v>56</v>
      </c>
      <c r="F1" s="11" t="s">
        <v>57</v>
      </c>
      <c r="G1" s="11" t="s">
        <v>58</v>
      </c>
      <c r="H1" s="11" t="s">
        <v>59</v>
      </c>
      <c r="I1" s="11" t="s">
        <v>60</v>
      </c>
      <c r="J1" s="11" t="s">
        <v>61</v>
      </c>
      <c r="K1" s="11" t="s">
        <v>62</v>
      </c>
      <c r="L1" s="11" t="s">
        <v>3</v>
      </c>
      <c r="M1" s="11" t="s">
        <v>17</v>
      </c>
    </row>
    <row r="2" spans="1:13" x14ac:dyDescent="0.3">
      <c r="A2" s="11"/>
      <c r="B2" s="11"/>
      <c r="C2" s="11"/>
      <c r="D2" s="11"/>
      <c r="E2" s="1" t="s">
        <v>15</v>
      </c>
      <c r="F2" s="11"/>
      <c r="G2" s="11"/>
      <c r="H2" s="11"/>
      <c r="I2" s="11"/>
      <c r="J2" s="11"/>
      <c r="K2" s="11"/>
      <c r="L2" s="11"/>
      <c r="M2" s="11"/>
    </row>
    <row r="3" spans="1:13" x14ac:dyDescent="0.3">
      <c r="A3" s="10" t="s">
        <v>579</v>
      </c>
      <c r="B3" t="s">
        <v>580</v>
      </c>
      <c r="D3" t="s">
        <v>70</v>
      </c>
      <c r="E3" t="s">
        <v>71</v>
      </c>
      <c r="F3" t="s">
        <v>581</v>
      </c>
      <c r="G3" t="s">
        <v>77</v>
      </c>
      <c r="H3" t="s">
        <v>582</v>
      </c>
      <c r="I3" t="s">
        <v>81</v>
      </c>
      <c r="L3" t="s">
        <v>42</v>
      </c>
    </row>
  </sheetData>
  <mergeCells count="12">
    <mergeCell ref="L1:L2"/>
    <mergeCell ref="M1:M2"/>
    <mergeCell ref="G1:G2"/>
    <mergeCell ref="H1:H2"/>
    <mergeCell ref="I1:I2"/>
    <mergeCell ref="J1:J2"/>
    <mergeCell ref="K1:K2"/>
    <mergeCell ref="A1:A2"/>
    <mergeCell ref="B1:B2"/>
    <mergeCell ref="C1:C2"/>
    <mergeCell ref="D1:D2"/>
    <mergeCell ref="F1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9933"/>
  </sheetPr>
  <dimension ref="A1:D20"/>
  <sheetViews>
    <sheetView workbookViewId="0"/>
  </sheetViews>
  <sheetFormatPr defaultRowHeight="13.8" x14ac:dyDescent="0.3"/>
  <cols>
    <col min="1" max="1" width="34.6640625" customWidth="1"/>
    <col min="2" max="2" width="31.6640625" customWidth="1"/>
    <col min="3" max="4" width="13.6640625" customWidth="1"/>
  </cols>
  <sheetData>
    <row r="1" spans="1:4" x14ac:dyDescent="0.3">
      <c r="A1" s="1" t="s">
        <v>0</v>
      </c>
      <c r="B1" s="11" t="s">
        <v>3</v>
      </c>
      <c r="C1" s="11"/>
      <c r="D1" s="11"/>
    </row>
    <row r="2" spans="1:4" x14ac:dyDescent="0.3">
      <c r="A2" s="1" t="s">
        <v>1</v>
      </c>
      <c r="B2" s="1" t="s">
        <v>4</v>
      </c>
      <c r="C2" s="1" t="s">
        <v>174</v>
      </c>
      <c r="D2" s="1" t="s">
        <v>81</v>
      </c>
    </row>
    <row r="3" spans="1:4" x14ac:dyDescent="0.3">
      <c r="A3" s="14" t="s">
        <v>31</v>
      </c>
      <c r="B3" s="5" t="s">
        <v>31</v>
      </c>
      <c r="C3" s="5">
        <v>0</v>
      </c>
      <c r="D3" s="5">
        <v>0</v>
      </c>
    </row>
    <row r="4" spans="1:4" x14ac:dyDescent="0.3">
      <c r="A4" s="14"/>
      <c r="B4" s="5" t="s">
        <v>44</v>
      </c>
      <c r="C4" s="5">
        <v>0</v>
      </c>
      <c r="D4" s="5">
        <v>3</v>
      </c>
    </row>
    <row r="5" spans="1:4" x14ac:dyDescent="0.3">
      <c r="A5" s="4" t="s">
        <v>30</v>
      </c>
      <c r="B5" s="5" t="s">
        <v>43</v>
      </c>
      <c r="C5" s="5">
        <v>1</v>
      </c>
      <c r="D5" s="5">
        <v>10</v>
      </c>
    </row>
    <row r="6" spans="1:4" x14ac:dyDescent="0.3">
      <c r="A6" s="4" t="s">
        <v>21</v>
      </c>
      <c r="B6" s="5" t="s">
        <v>35</v>
      </c>
      <c r="C6" s="5">
        <v>0</v>
      </c>
      <c r="D6" s="5">
        <v>3</v>
      </c>
    </row>
    <row r="7" spans="1:4" x14ac:dyDescent="0.3">
      <c r="A7" s="4" t="s">
        <v>32</v>
      </c>
      <c r="B7" s="5" t="s">
        <v>32</v>
      </c>
      <c r="C7" s="5">
        <v>0</v>
      </c>
      <c r="D7" s="5">
        <v>0</v>
      </c>
    </row>
    <row r="8" spans="1:4" x14ac:dyDescent="0.3">
      <c r="A8" s="4" t="s">
        <v>22</v>
      </c>
      <c r="B8" s="5" t="s">
        <v>36</v>
      </c>
      <c r="C8" s="5">
        <v>0</v>
      </c>
      <c r="D8" s="5">
        <v>0</v>
      </c>
    </row>
    <row r="9" spans="1:4" x14ac:dyDescent="0.3">
      <c r="A9" s="4" t="s">
        <v>24</v>
      </c>
      <c r="B9" s="5" t="s">
        <v>37</v>
      </c>
      <c r="C9" s="5">
        <v>0</v>
      </c>
      <c r="D9" s="5">
        <v>1</v>
      </c>
    </row>
    <row r="10" spans="1:4" x14ac:dyDescent="0.3">
      <c r="A10" s="4" t="s">
        <v>25</v>
      </c>
      <c r="B10" s="5" t="s">
        <v>25</v>
      </c>
      <c r="C10" s="5">
        <v>0</v>
      </c>
      <c r="D10" s="5">
        <v>4</v>
      </c>
    </row>
    <row r="11" spans="1:4" x14ac:dyDescent="0.3">
      <c r="A11" s="4" t="s">
        <v>26</v>
      </c>
      <c r="B11" s="5" t="s">
        <v>38</v>
      </c>
      <c r="C11" s="5">
        <v>0</v>
      </c>
      <c r="D11" s="5">
        <v>0</v>
      </c>
    </row>
    <row r="12" spans="1:4" x14ac:dyDescent="0.3">
      <c r="A12" s="4" t="s">
        <v>28</v>
      </c>
      <c r="B12" s="5" t="s">
        <v>28</v>
      </c>
      <c r="C12" s="5">
        <v>0</v>
      </c>
      <c r="D12" s="5">
        <v>0</v>
      </c>
    </row>
    <row r="13" spans="1:4" x14ac:dyDescent="0.3">
      <c r="A13" s="14" t="s">
        <v>27</v>
      </c>
      <c r="B13" s="5" t="s">
        <v>39</v>
      </c>
      <c r="C13" s="5">
        <v>0</v>
      </c>
      <c r="D13" s="5">
        <v>0</v>
      </c>
    </row>
    <row r="14" spans="1:4" x14ac:dyDescent="0.3">
      <c r="A14" s="14"/>
      <c r="B14" s="5" t="s">
        <v>40</v>
      </c>
      <c r="C14" s="5">
        <v>0</v>
      </c>
      <c r="D14" s="5">
        <v>2</v>
      </c>
    </row>
    <row r="15" spans="1:4" x14ac:dyDescent="0.3">
      <c r="A15" s="14"/>
      <c r="B15" s="5" t="s">
        <v>41</v>
      </c>
      <c r="C15" s="5">
        <v>0</v>
      </c>
      <c r="D15" s="5">
        <v>0</v>
      </c>
    </row>
    <row r="16" spans="1:4" x14ac:dyDescent="0.3">
      <c r="A16" s="14"/>
      <c r="B16" s="5" t="s">
        <v>27</v>
      </c>
      <c r="C16" s="5">
        <v>0</v>
      </c>
      <c r="D16" s="5">
        <v>0</v>
      </c>
    </row>
    <row r="17" spans="1:4" x14ac:dyDescent="0.3">
      <c r="A17" s="4" t="s">
        <v>20</v>
      </c>
      <c r="B17" s="5" t="s">
        <v>34</v>
      </c>
      <c r="C17" s="5">
        <v>0</v>
      </c>
      <c r="D17" s="5">
        <v>2</v>
      </c>
    </row>
    <row r="18" spans="1:4" x14ac:dyDescent="0.3">
      <c r="A18" s="4" t="s">
        <v>23</v>
      </c>
      <c r="B18" s="5" t="s">
        <v>23</v>
      </c>
      <c r="C18" s="5">
        <v>0</v>
      </c>
      <c r="D18" s="5">
        <v>1</v>
      </c>
    </row>
    <row r="19" spans="1:4" x14ac:dyDescent="0.3">
      <c r="A19" s="4" t="s">
        <v>29</v>
      </c>
      <c r="B19" s="5" t="s">
        <v>42</v>
      </c>
      <c r="C19" s="5">
        <v>0</v>
      </c>
      <c r="D19" s="5">
        <v>1</v>
      </c>
    </row>
    <row r="20" spans="1:4" x14ac:dyDescent="0.3">
      <c r="A20" s="8" t="s">
        <v>583</v>
      </c>
      <c r="B20" s="8"/>
      <c r="C20" s="8">
        <f>SUM(C3:C19)</f>
        <v>1</v>
      </c>
      <c r="D20" s="8">
        <f>SUM(D3:D19)</f>
        <v>27</v>
      </c>
    </row>
  </sheetData>
  <mergeCells count="3">
    <mergeCell ref="B1:D1"/>
    <mergeCell ref="A3:A4"/>
    <mergeCell ref="A13:A1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9933"/>
  </sheetPr>
  <dimension ref="A1:G6"/>
  <sheetViews>
    <sheetView workbookViewId="0"/>
  </sheetViews>
  <sheetFormatPr defaultRowHeight="13.8" x14ac:dyDescent="0.3"/>
  <cols>
    <col min="1" max="1" width="28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1" t="s">
        <v>0</v>
      </c>
      <c r="B1" s="11"/>
      <c r="C1" s="11" t="s">
        <v>3</v>
      </c>
      <c r="D1" s="11"/>
      <c r="E1" s="13" t="s">
        <v>6</v>
      </c>
      <c r="F1" s="13"/>
      <c r="G1" s="11" t="s">
        <v>17</v>
      </c>
    </row>
    <row r="2" spans="1:7" x14ac:dyDescent="0.3">
      <c r="A2" s="11" t="s">
        <v>1</v>
      </c>
      <c r="B2" s="11" t="s">
        <v>2</v>
      </c>
      <c r="C2" s="11" t="s">
        <v>4</v>
      </c>
      <c r="D2" s="11" t="s">
        <v>2</v>
      </c>
      <c r="E2" s="13" t="s">
        <v>7</v>
      </c>
      <c r="F2" s="13"/>
      <c r="G2" s="11"/>
    </row>
    <row r="3" spans="1:7" x14ac:dyDescent="0.3">
      <c r="A3" s="11"/>
      <c r="B3" s="11"/>
      <c r="C3" s="11"/>
      <c r="D3" s="11"/>
      <c r="E3" s="3" t="s">
        <v>8</v>
      </c>
      <c r="F3" s="2" t="s">
        <v>5</v>
      </c>
      <c r="G3" s="11"/>
    </row>
    <row r="4" spans="1:7" x14ac:dyDescent="0.3">
      <c r="A4" s="4" t="s">
        <v>30</v>
      </c>
      <c r="B4" s="4">
        <v>15</v>
      </c>
      <c r="C4" s="5" t="s">
        <v>43</v>
      </c>
      <c r="D4" s="5">
        <v>15</v>
      </c>
      <c r="E4" s="3"/>
      <c r="F4" s="2">
        <v>15</v>
      </c>
      <c r="G4" s="6"/>
    </row>
    <row r="5" spans="1:7" x14ac:dyDescent="0.3">
      <c r="A5" s="4" t="s">
        <v>28</v>
      </c>
      <c r="B5" s="4">
        <v>31</v>
      </c>
      <c r="C5" s="5" t="s">
        <v>28</v>
      </c>
      <c r="D5" s="5">
        <v>31</v>
      </c>
      <c r="E5" s="3"/>
      <c r="F5" s="2">
        <v>31</v>
      </c>
      <c r="G5" s="6"/>
    </row>
    <row r="6" spans="1:7" x14ac:dyDescent="0.3">
      <c r="A6" s="8" t="s">
        <v>583</v>
      </c>
      <c r="B6" s="8">
        <f>SUM(B3:B5)</f>
        <v>46</v>
      </c>
      <c r="C6" s="8"/>
      <c r="D6" s="8">
        <f>SUM(D3:D5)</f>
        <v>46</v>
      </c>
      <c r="E6" s="8">
        <f>SUM(E3:E5)</f>
        <v>0</v>
      </c>
      <c r="F6" s="8">
        <f>SUM(F3:F5)</f>
        <v>46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9933"/>
  </sheetPr>
  <dimension ref="A1:G6"/>
  <sheetViews>
    <sheetView workbookViewId="0"/>
  </sheetViews>
  <sheetFormatPr defaultRowHeight="13.8" x14ac:dyDescent="0.3"/>
  <cols>
    <col min="1" max="1" width="28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1" t="s">
        <v>0</v>
      </c>
      <c r="B1" s="11"/>
      <c r="C1" s="11" t="s">
        <v>3</v>
      </c>
      <c r="D1" s="11"/>
      <c r="E1" s="13" t="s">
        <v>6</v>
      </c>
      <c r="F1" s="13"/>
      <c r="G1" s="11" t="s">
        <v>17</v>
      </c>
    </row>
    <row r="2" spans="1:7" x14ac:dyDescent="0.3">
      <c r="A2" s="11" t="s">
        <v>1</v>
      </c>
      <c r="B2" s="11" t="s">
        <v>2</v>
      </c>
      <c r="C2" s="11" t="s">
        <v>4</v>
      </c>
      <c r="D2" s="11" t="s">
        <v>2</v>
      </c>
      <c r="E2" s="13" t="s">
        <v>9</v>
      </c>
      <c r="F2" s="13"/>
      <c r="G2" s="11"/>
    </row>
    <row r="3" spans="1:7" x14ac:dyDescent="0.3">
      <c r="A3" s="11"/>
      <c r="B3" s="11"/>
      <c r="C3" s="11"/>
      <c r="D3" s="11"/>
      <c r="E3" s="3" t="s">
        <v>8</v>
      </c>
      <c r="F3" s="2" t="s">
        <v>5</v>
      </c>
      <c r="G3" s="11"/>
    </row>
    <row r="4" spans="1:7" x14ac:dyDescent="0.3">
      <c r="A4" s="4" t="s">
        <v>30</v>
      </c>
      <c r="B4" s="4">
        <v>15</v>
      </c>
      <c r="C4" s="5" t="s">
        <v>43</v>
      </c>
      <c r="D4" s="5">
        <v>15</v>
      </c>
      <c r="E4" s="3"/>
      <c r="F4" s="2">
        <v>15</v>
      </c>
      <c r="G4" s="6"/>
    </row>
    <row r="5" spans="1:7" x14ac:dyDescent="0.3">
      <c r="A5" s="4" t="s">
        <v>28</v>
      </c>
      <c r="B5" s="4">
        <v>31</v>
      </c>
      <c r="C5" s="5" t="s">
        <v>28</v>
      </c>
      <c r="D5" s="5">
        <v>31</v>
      </c>
      <c r="E5" s="3"/>
      <c r="F5" s="2">
        <v>31</v>
      </c>
      <c r="G5" s="6"/>
    </row>
    <row r="6" spans="1:7" x14ac:dyDescent="0.3">
      <c r="A6" s="8" t="s">
        <v>583</v>
      </c>
      <c r="B6" s="8">
        <f>SUM(B3:B5)</f>
        <v>46</v>
      </c>
      <c r="C6" s="8"/>
      <c r="D6" s="8">
        <f>SUM(D3:D5)</f>
        <v>46</v>
      </c>
      <c r="E6" s="8">
        <f>SUM(E3:E5)</f>
        <v>0</v>
      </c>
      <c r="F6" s="8">
        <f>SUM(F3:F5)</f>
        <v>46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9933"/>
  </sheetPr>
  <dimension ref="A1:G5"/>
  <sheetViews>
    <sheetView workbookViewId="0"/>
  </sheetViews>
  <sheetFormatPr defaultRowHeight="13.8" x14ac:dyDescent="0.3"/>
  <cols>
    <col min="1" max="1" width="28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1" t="s">
        <v>0</v>
      </c>
      <c r="B1" s="11"/>
      <c r="C1" s="11" t="s">
        <v>3</v>
      </c>
      <c r="D1" s="11"/>
      <c r="E1" s="13" t="s">
        <v>6</v>
      </c>
      <c r="F1" s="13"/>
      <c r="G1" s="11" t="s">
        <v>17</v>
      </c>
    </row>
    <row r="2" spans="1:7" x14ac:dyDescent="0.3">
      <c r="A2" s="11" t="s">
        <v>1</v>
      </c>
      <c r="B2" s="11" t="s">
        <v>2</v>
      </c>
      <c r="C2" s="11" t="s">
        <v>4</v>
      </c>
      <c r="D2" s="11" t="s">
        <v>2</v>
      </c>
      <c r="E2" s="13" t="s">
        <v>10</v>
      </c>
      <c r="F2" s="13"/>
      <c r="G2" s="11"/>
    </row>
    <row r="3" spans="1:7" x14ac:dyDescent="0.3">
      <c r="A3" s="11"/>
      <c r="B3" s="11"/>
      <c r="C3" s="11"/>
      <c r="D3" s="11"/>
      <c r="E3" s="3" t="s">
        <v>8</v>
      </c>
      <c r="F3" s="2" t="s">
        <v>5</v>
      </c>
      <c r="G3" s="11"/>
    </row>
    <row r="4" spans="1:7" x14ac:dyDescent="0.3">
      <c r="A4" s="4" t="s">
        <v>30</v>
      </c>
      <c r="B4" s="4">
        <v>1</v>
      </c>
      <c r="C4" s="5" t="s">
        <v>43</v>
      </c>
      <c r="D4" s="5">
        <v>1</v>
      </c>
      <c r="E4" s="3"/>
      <c r="F4" s="2">
        <v>1</v>
      </c>
      <c r="G4" s="6"/>
    </row>
    <row r="5" spans="1:7" x14ac:dyDescent="0.3">
      <c r="A5" s="8" t="s">
        <v>583</v>
      </c>
      <c r="B5" s="8">
        <f>SUM(B3:B4)</f>
        <v>1</v>
      </c>
      <c r="C5" s="8"/>
      <c r="D5" s="8">
        <f>SUM(D3:D4)</f>
        <v>1</v>
      </c>
      <c r="E5" s="8">
        <f>SUM(E3:E4)</f>
        <v>0</v>
      </c>
      <c r="F5" s="8">
        <f>SUM(F3:F4)</f>
        <v>1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9933"/>
  </sheetPr>
  <dimension ref="A1:G8"/>
  <sheetViews>
    <sheetView workbookViewId="0"/>
  </sheetViews>
  <sheetFormatPr defaultRowHeight="13.8" x14ac:dyDescent="0.3"/>
  <cols>
    <col min="1" max="1" width="15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1" t="s">
        <v>0</v>
      </c>
      <c r="B1" s="11"/>
      <c r="C1" s="11" t="s">
        <v>3</v>
      </c>
      <c r="D1" s="11"/>
      <c r="E1" s="13" t="s">
        <v>6</v>
      </c>
      <c r="F1" s="13"/>
      <c r="G1" s="11" t="s">
        <v>17</v>
      </c>
    </row>
    <row r="2" spans="1:7" x14ac:dyDescent="0.3">
      <c r="A2" s="11" t="s">
        <v>1</v>
      </c>
      <c r="B2" s="11" t="s">
        <v>2</v>
      </c>
      <c r="C2" s="11" t="s">
        <v>4</v>
      </c>
      <c r="D2" s="11" t="s">
        <v>2</v>
      </c>
      <c r="E2" s="13" t="s">
        <v>11</v>
      </c>
      <c r="F2" s="13"/>
      <c r="G2" s="11"/>
    </row>
    <row r="3" spans="1:7" x14ac:dyDescent="0.3">
      <c r="A3" s="11"/>
      <c r="B3" s="11"/>
      <c r="C3" s="11"/>
      <c r="D3" s="11"/>
      <c r="E3" s="3" t="s">
        <v>8</v>
      </c>
      <c r="F3" s="2" t="s">
        <v>5</v>
      </c>
      <c r="G3" s="11"/>
    </row>
    <row r="4" spans="1:7" x14ac:dyDescent="0.3">
      <c r="A4" s="14" t="s">
        <v>27</v>
      </c>
      <c r="B4" s="14">
        <v>13</v>
      </c>
      <c r="C4" s="5" t="s">
        <v>39</v>
      </c>
      <c r="D4" s="5">
        <v>5</v>
      </c>
      <c r="E4" s="3"/>
      <c r="F4" s="2">
        <v>5</v>
      </c>
      <c r="G4" s="6"/>
    </row>
    <row r="5" spans="1:7" x14ac:dyDescent="0.3">
      <c r="A5" s="14"/>
      <c r="B5" s="14"/>
      <c r="C5" s="5" t="s">
        <v>40</v>
      </c>
      <c r="D5" s="5">
        <v>6</v>
      </c>
      <c r="E5" s="3">
        <v>2</v>
      </c>
      <c r="F5" s="2">
        <v>4</v>
      </c>
      <c r="G5" s="6"/>
    </row>
    <row r="6" spans="1:7" x14ac:dyDescent="0.3">
      <c r="A6" s="14"/>
      <c r="B6" s="14"/>
      <c r="C6" s="5" t="s">
        <v>41</v>
      </c>
      <c r="D6" s="5">
        <v>1</v>
      </c>
      <c r="E6" s="3"/>
      <c r="F6" s="2">
        <v>1</v>
      </c>
      <c r="G6" s="6"/>
    </row>
    <row r="7" spans="1:7" x14ac:dyDescent="0.3">
      <c r="A7" s="14"/>
      <c r="B7" s="14"/>
      <c r="C7" s="5" t="s">
        <v>27</v>
      </c>
      <c r="D7" s="5">
        <v>1</v>
      </c>
      <c r="E7" s="3"/>
      <c r="F7" s="2">
        <v>1</v>
      </c>
      <c r="G7" s="6"/>
    </row>
    <row r="8" spans="1:7" x14ac:dyDescent="0.3">
      <c r="A8" s="8" t="s">
        <v>583</v>
      </c>
      <c r="B8" s="8">
        <f>SUM(B3:B7)</f>
        <v>13</v>
      </c>
      <c r="C8" s="8"/>
      <c r="D8" s="8">
        <f>SUM(D3:D7)</f>
        <v>13</v>
      </c>
      <c r="E8" s="8">
        <f>SUM(E3:E7)</f>
        <v>2</v>
      </c>
      <c r="F8" s="8">
        <f>SUM(F3:F7)</f>
        <v>11</v>
      </c>
    </row>
  </sheetData>
  <mergeCells count="11">
    <mergeCell ref="E1:F1"/>
    <mergeCell ref="E2:F2"/>
    <mergeCell ref="G1:G3"/>
    <mergeCell ref="A4:A7"/>
    <mergeCell ref="B4:B7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9933"/>
  </sheetPr>
  <dimension ref="A1:G11"/>
  <sheetViews>
    <sheetView workbookViewId="0"/>
  </sheetViews>
  <sheetFormatPr defaultRowHeight="13.8" x14ac:dyDescent="0.3"/>
  <cols>
    <col min="1" max="1" width="34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1" t="s">
        <v>0</v>
      </c>
      <c r="B1" s="11"/>
      <c r="C1" s="11" t="s">
        <v>3</v>
      </c>
      <c r="D1" s="11"/>
      <c r="E1" s="13" t="s">
        <v>6</v>
      </c>
      <c r="F1" s="13"/>
      <c r="G1" s="11" t="s">
        <v>17</v>
      </c>
    </row>
    <row r="2" spans="1:7" x14ac:dyDescent="0.3">
      <c r="A2" s="11" t="s">
        <v>1</v>
      </c>
      <c r="B2" s="11" t="s">
        <v>2</v>
      </c>
      <c r="C2" s="11" t="s">
        <v>4</v>
      </c>
      <c r="D2" s="11" t="s">
        <v>2</v>
      </c>
      <c r="E2" s="13" t="s">
        <v>12</v>
      </c>
      <c r="F2" s="13"/>
      <c r="G2" s="11"/>
    </row>
    <row r="3" spans="1:7" x14ac:dyDescent="0.3">
      <c r="A3" s="11"/>
      <c r="B3" s="11"/>
      <c r="C3" s="11"/>
      <c r="D3" s="11"/>
      <c r="E3" s="3" t="s">
        <v>8</v>
      </c>
      <c r="F3" s="2" t="s">
        <v>5</v>
      </c>
      <c r="G3" s="11"/>
    </row>
    <row r="4" spans="1:7" x14ac:dyDescent="0.3">
      <c r="A4" s="14" t="s">
        <v>31</v>
      </c>
      <c r="B4" s="14">
        <v>4</v>
      </c>
      <c r="C4" s="5" t="s">
        <v>31</v>
      </c>
      <c r="D4" s="5">
        <v>1</v>
      </c>
      <c r="E4" s="3"/>
      <c r="F4" s="2">
        <v>1</v>
      </c>
      <c r="G4" s="6"/>
    </row>
    <row r="5" spans="1:7" x14ac:dyDescent="0.3">
      <c r="A5" s="14"/>
      <c r="B5" s="14"/>
      <c r="C5" s="5" t="s">
        <v>44</v>
      </c>
      <c r="D5" s="5">
        <v>3</v>
      </c>
      <c r="E5" s="3">
        <v>3</v>
      </c>
      <c r="F5" s="2"/>
      <c r="G5" s="6"/>
    </row>
    <row r="6" spans="1:7" x14ac:dyDescent="0.3">
      <c r="A6" s="4" t="s">
        <v>30</v>
      </c>
      <c r="B6" s="4">
        <v>4</v>
      </c>
      <c r="C6" s="5" t="s">
        <v>43</v>
      </c>
      <c r="D6" s="5">
        <v>4</v>
      </c>
      <c r="E6" s="3"/>
      <c r="F6" s="2">
        <v>4</v>
      </c>
      <c r="G6" s="6"/>
    </row>
    <row r="7" spans="1:7" x14ac:dyDescent="0.3">
      <c r="A7" s="4" t="s">
        <v>21</v>
      </c>
      <c r="B7" s="4">
        <v>2</v>
      </c>
      <c r="C7" s="5" t="s">
        <v>35</v>
      </c>
      <c r="D7" s="5">
        <v>2</v>
      </c>
      <c r="E7" s="3">
        <v>1</v>
      </c>
      <c r="F7" s="2">
        <v>1</v>
      </c>
      <c r="G7" s="6"/>
    </row>
    <row r="8" spans="1:7" x14ac:dyDescent="0.3">
      <c r="A8" s="4" t="s">
        <v>26</v>
      </c>
      <c r="B8" s="4">
        <v>5</v>
      </c>
      <c r="C8" s="5" t="s">
        <v>38</v>
      </c>
      <c r="D8" s="5">
        <v>5</v>
      </c>
      <c r="E8" s="3"/>
      <c r="F8" s="2">
        <v>5</v>
      </c>
      <c r="G8" s="6"/>
    </row>
    <row r="9" spans="1:7" x14ac:dyDescent="0.3">
      <c r="A9" s="4" t="s">
        <v>28</v>
      </c>
      <c r="B9" s="4">
        <v>2</v>
      </c>
      <c r="C9" s="5" t="s">
        <v>28</v>
      </c>
      <c r="D9" s="5">
        <v>2</v>
      </c>
      <c r="E9" s="3"/>
      <c r="F9" s="2">
        <v>2</v>
      </c>
      <c r="G9" s="6"/>
    </row>
    <row r="10" spans="1:7" x14ac:dyDescent="0.3">
      <c r="A10" s="4" t="s">
        <v>27</v>
      </c>
      <c r="B10" s="4">
        <v>1</v>
      </c>
      <c r="C10" s="5" t="s">
        <v>27</v>
      </c>
      <c r="D10" s="5">
        <v>1</v>
      </c>
      <c r="E10" s="3"/>
      <c r="F10" s="2">
        <v>1</v>
      </c>
      <c r="G10" s="6"/>
    </row>
    <row r="11" spans="1:7" x14ac:dyDescent="0.3">
      <c r="A11" s="8" t="s">
        <v>583</v>
      </c>
      <c r="B11" s="8">
        <f>SUM(B3:B10)</f>
        <v>18</v>
      </c>
      <c r="C11" s="8"/>
      <c r="D11" s="8">
        <f>SUM(D3:D10)</f>
        <v>18</v>
      </c>
      <c r="E11" s="8">
        <f>SUM(E3:E10)</f>
        <v>4</v>
      </c>
      <c r="F11" s="8">
        <f>SUM(F3:F10)</f>
        <v>14</v>
      </c>
    </row>
  </sheetData>
  <mergeCells count="11">
    <mergeCell ref="E1:F1"/>
    <mergeCell ref="E2:F2"/>
    <mergeCell ref="G1:G3"/>
    <mergeCell ref="A4:A5"/>
    <mergeCell ref="B4:B5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9933"/>
  </sheetPr>
  <dimension ref="A1:G5"/>
  <sheetViews>
    <sheetView workbookViewId="0"/>
  </sheetViews>
  <sheetFormatPr defaultRowHeight="13.8" x14ac:dyDescent="0.3"/>
  <cols>
    <col min="1" max="1" width="20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1" t="s">
        <v>0</v>
      </c>
      <c r="B1" s="11"/>
      <c r="C1" s="11" t="s">
        <v>3</v>
      </c>
      <c r="D1" s="11"/>
      <c r="E1" s="13" t="s">
        <v>6</v>
      </c>
      <c r="F1" s="13"/>
      <c r="G1" s="11" t="s">
        <v>17</v>
      </c>
    </row>
    <row r="2" spans="1:7" x14ac:dyDescent="0.3">
      <c r="A2" s="11" t="s">
        <v>1</v>
      </c>
      <c r="B2" s="11" t="s">
        <v>2</v>
      </c>
      <c r="C2" s="11" t="s">
        <v>4</v>
      </c>
      <c r="D2" s="11" t="s">
        <v>2</v>
      </c>
      <c r="E2" s="13" t="s">
        <v>13</v>
      </c>
      <c r="F2" s="13"/>
      <c r="G2" s="11"/>
    </row>
    <row r="3" spans="1:7" x14ac:dyDescent="0.3">
      <c r="A3" s="11"/>
      <c r="B3" s="11"/>
      <c r="C3" s="11"/>
      <c r="D3" s="11"/>
      <c r="E3" s="3" t="s">
        <v>8</v>
      </c>
      <c r="F3" s="2" t="s">
        <v>5</v>
      </c>
      <c r="G3" s="11"/>
    </row>
    <row r="4" spans="1:7" x14ac:dyDescent="0.3">
      <c r="A4" s="4" t="s">
        <v>31</v>
      </c>
      <c r="B4" s="4">
        <v>3</v>
      </c>
      <c r="C4" s="5" t="s">
        <v>44</v>
      </c>
      <c r="D4" s="5">
        <v>3</v>
      </c>
      <c r="E4" s="3">
        <v>3</v>
      </c>
      <c r="F4" s="2"/>
      <c r="G4" s="6"/>
    </row>
    <row r="5" spans="1:7" x14ac:dyDescent="0.3">
      <c r="A5" s="8" t="s">
        <v>583</v>
      </c>
      <c r="B5" s="8">
        <f>SUM(B3:B4)</f>
        <v>3</v>
      </c>
      <c r="C5" s="8"/>
      <c r="D5" s="8">
        <f>SUM(D3:D4)</f>
        <v>3</v>
      </c>
      <c r="E5" s="8">
        <f>SUM(E3:E4)</f>
        <v>3</v>
      </c>
      <c r="F5" s="8">
        <f>SUM(F3:F4)</f>
        <v>0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9933"/>
  </sheetPr>
  <dimension ref="A1:G5"/>
  <sheetViews>
    <sheetView workbookViewId="0"/>
  </sheetViews>
  <sheetFormatPr defaultRowHeight="13.8" x14ac:dyDescent="0.3"/>
  <cols>
    <col min="1" max="1" width="20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1" t="s">
        <v>0</v>
      </c>
      <c r="B1" s="11"/>
      <c r="C1" s="11" t="s">
        <v>3</v>
      </c>
      <c r="D1" s="11"/>
      <c r="E1" s="13" t="s">
        <v>6</v>
      </c>
      <c r="F1" s="13"/>
      <c r="G1" s="11" t="s">
        <v>17</v>
      </c>
    </row>
    <row r="2" spans="1:7" x14ac:dyDescent="0.3">
      <c r="A2" s="11" t="s">
        <v>1</v>
      </c>
      <c r="B2" s="11" t="s">
        <v>2</v>
      </c>
      <c r="C2" s="11" t="s">
        <v>4</v>
      </c>
      <c r="D2" s="11" t="s">
        <v>2</v>
      </c>
      <c r="E2" s="13" t="s">
        <v>14</v>
      </c>
      <c r="F2" s="13"/>
      <c r="G2" s="11"/>
    </row>
    <row r="3" spans="1:7" x14ac:dyDescent="0.3">
      <c r="A3" s="11"/>
      <c r="B3" s="11"/>
      <c r="C3" s="11"/>
      <c r="D3" s="11"/>
      <c r="E3" s="3" t="s">
        <v>8</v>
      </c>
      <c r="F3" s="2" t="s">
        <v>5</v>
      </c>
      <c r="G3" s="11"/>
    </row>
    <row r="4" spans="1:7" x14ac:dyDescent="0.3">
      <c r="A4" s="4" t="s">
        <v>31</v>
      </c>
      <c r="B4" s="4">
        <v>3</v>
      </c>
      <c r="C4" s="5" t="s">
        <v>44</v>
      </c>
      <c r="D4" s="5">
        <v>3</v>
      </c>
      <c r="E4" s="3">
        <v>3</v>
      </c>
      <c r="F4" s="2"/>
      <c r="G4" s="6"/>
    </row>
    <row r="5" spans="1:7" x14ac:dyDescent="0.3">
      <c r="A5" s="8" t="s">
        <v>583</v>
      </c>
      <c r="B5" s="8">
        <f>SUM(B3:B4)</f>
        <v>3</v>
      </c>
      <c r="C5" s="8"/>
      <c r="D5" s="8">
        <f>SUM(D3:D4)</f>
        <v>3</v>
      </c>
      <c r="E5" s="8">
        <f>SUM(E3:E4)</f>
        <v>3</v>
      </c>
      <c r="F5" s="8">
        <f>SUM(F3:F4)</f>
        <v>0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9933"/>
  </sheetPr>
  <dimension ref="A1:G13"/>
  <sheetViews>
    <sheetView workbookViewId="0"/>
  </sheetViews>
  <sheetFormatPr defaultRowHeight="13.8" x14ac:dyDescent="0.3"/>
  <cols>
    <col min="1" max="1" width="34.6640625" customWidth="1"/>
    <col min="2" max="2" width="11.6640625" customWidth="1"/>
    <col min="3" max="3" width="31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1" t="s">
        <v>0</v>
      </c>
      <c r="B1" s="11"/>
      <c r="C1" s="11" t="s">
        <v>3</v>
      </c>
      <c r="D1" s="11"/>
      <c r="E1" s="13" t="s">
        <v>6</v>
      </c>
      <c r="F1" s="13"/>
      <c r="G1" s="11" t="s">
        <v>17</v>
      </c>
    </row>
    <row r="2" spans="1:7" x14ac:dyDescent="0.3">
      <c r="A2" s="11" t="s">
        <v>1</v>
      </c>
      <c r="B2" s="11" t="s">
        <v>2</v>
      </c>
      <c r="C2" s="11" t="s">
        <v>4</v>
      </c>
      <c r="D2" s="11" t="s">
        <v>2</v>
      </c>
      <c r="E2" s="13" t="s">
        <v>15</v>
      </c>
      <c r="F2" s="13"/>
      <c r="G2" s="11"/>
    </row>
    <row r="3" spans="1:7" x14ac:dyDescent="0.3">
      <c r="A3" s="11"/>
      <c r="B3" s="11"/>
      <c r="C3" s="11"/>
      <c r="D3" s="11"/>
      <c r="E3" s="3" t="s">
        <v>8</v>
      </c>
      <c r="F3" s="2" t="s">
        <v>5</v>
      </c>
      <c r="G3" s="11"/>
    </row>
    <row r="4" spans="1:7" x14ac:dyDescent="0.3">
      <c r="A4" s="4" t="s">
        <v>30</v>
      </c>
      <c r="B4" s="4">
        <v>12</v>
      </c>
      <c r="C4" s="5" t="s">
        <v>43</v>
      </c>
      <c r="D4" s="5">
        <v>12</v>
      </c>
      <c r="E4" s="3">
        <v>11</v>
      </c>
      <c r="F4" s="2">
        <v>1</v>
      </c>
      <c r="G4" s="6"/>
    </row>
    <row r="5" spans="1:7" x14ac:dyDescent="0.3">
      <c r="A5" s="4" t="s">
        <v>21</v>
      </c>
      <c r="B5" s="4">
        <v>2</v>
      </c>
      <c r="C5" s="5" t="s">
        <v>35</v>
      </c>
      <c r="D5" s="5">
        <v>2</v>
      </c>
      <c r="E5" s="3">
        <v>1</v>
      </c>
      <c r="F5" s="2">
        <v>1</v>
      </c>
      <c r="G5" s="6"/>
    </row>
    <row r="6" spans="1:7" x14ac:dyDescent="0.3">
      <c r="A6" s="4" t="s">
        <v>32</v>
      </c>
      <c r="B6" s="4">
        <v>1</v>
      </c>
      <c r="C6" s="5" t="s">
        <v>32</v>
      </c>
      <c r="D6" s="5">
        <v>1</v>
      </c>
      <c r="E6" s="3"/>
      <c r="F6" s="2">
        <v>1</v>
      </c>
      <c r="G6" s="6"/>
    </row>
    <row r="7" spans="1:7" x14ac:dyDescent="0.3">
      <c r="A7" s="4" t="s">
        <v>22</v>
      </c>
      <c r="B7" s="4">
        <v>1</v>
      </c>
      <c r="C7" s="5" t="s">
        <v>36</v>
      </c>
      <c r="D7" s="5">
        <v>1</v>
      </c>
      <c r="E7" s="3"/>
      <c r="F7" s="2">
        <v>1</v>
      </c>
      <c r="G7" s="6"/>
    </row>
    <row r="8" spans="1:7" x14ac:dyDescent="0.3">
      <c r="A8" s="4" t="s">
        <v>24</v>
      </c>
      <c r="B8" s="4">
        <v>45</v>
      </c>
      <c r="C8" s="5" t="s">
        <v>37</v>
      </c>
      <c r="D8" s="5">
        <v>45</v>
      </c>
      <c r="E8" s="3">
        <v>1</v>
      </c>
      <c r="F8" s="2">
        <v>44</v>
      </c>
      <c r="G8" s="6"/>
    </row>
    <row r="9" spans="1:7" x14ac:dyDescent="0.3">
      <c r="A9" s="4" t="s">
        <v>27</v>
      </c>
      <c r="B9" s="4">
        <v>1</v>
      </c>
      <c r="C9" s="5" t="s">
        <v>27</v>
      </c>
      <c r="D9" s="5">
        <v>1</v>
      </c>
      <c r="E9" s="3"/>
      <c r="F9" s="2">
        <v>1</v>
      </c>
      <c r="G9" s="6"/>
    </row>
    <row r="10" spans="1:7" x14ac:dyDescent="0.3">
      <c r="A10" s="4" t="s">
        <v>20</v>
      </c>
      <c r="B10" s="4">
        <v>2</v>
      </c>
      <c r="C10" s="5" t="s">
        <v>34</v>
      </c>
      <c r="D10" s="5">
        <v>2</v>
      </c>
      <c r="E10" s="3">
        <v>2</v>
      </c>
      <c r="F10" s="2"/>
      <c r="G10" s="6"/>
    </row>
    <row r="11" spans="1:7" x14ac:dyDescent="0.3">
      <c r="A11" s="4" t="s">
        <v>23</v>
      </c>
      <c r="B11" s="4">
        <v>5</v>
      </c>
      <c r="C11" s="5" t="s">
        <v>23</v>
      </c>
      <c r="D11" s="5">
        <v>5</v>
      </c>
      <c r="E11" s="3">
        <v>1</v>
      </c>
      <c r="F11" s="2">
        <v>4</v>
      </c>
      <c r="G11" s="6"/>
    </row>
    <row r="12" spans="1:7" x14ac:dyDescent="0.3">
      <c r="A12" s="4" t="s">
        <v>29</v>
      </c>
      <c r="B12" s="4">
        <v>1</v>
      </c>
      <c r="C12" s="5" t="s">
        <v>42</v>
      </c>
      <c r="D12" s="5">
        <v>1</v>
      </c>
      <c r="E12" s="3">
        <v>1</v>
      </c>
      <c r="F12" s="2"/>
      <c r="G12" s="6"/>
    </row>
    <row r="13" spans="1:7" x14ac:dyDescent="0.3">
      <c r="A13" s="8" t="s">
        <v>583</v>
      </c>
      <c r="B13" s="8">
        <f>SUM(B3:B12)</f>
        <v>70</v>
      </c>
      <c r="C13" s="8"/>
      <c r="D13" s="8">
        <f>SUM(D3:D12)</f>
        <v>70</v>
      </c>
      <c r="E13" s="8">
        <f>SUM(E3:E12)</f>
        <v>17</v>
      </c>
      <c r="F13" s="8">
        <f>SUM(F3:F12)</f>
        <v>53</v>
      </c>
    </row>
  </sheetData>
  <mergeCells count="9">
    <mergeCell ref="E1:F1"/>
    <mergeCell ref="E2:F2"/>
    <mergeCell ref="G1:G3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9933"/>
  </sheetPr>
  <dimension ref="A1:G8"/>
  <sheetViews>
    <sheetView workbookViewId="0"/>
  </sheetViews>
  <sheetFormatPr defaultRowHeight="13.8" x14ac:dyDescent="0.3"/>
  <cols>
    <col min="1" max="1" width="34.6640625" customWidth="1"/>
    <col min="2" max="2" width="11.6640625" customWidth="1"/>
    <col min="3" max="3" width="16.6640625" customWidth="1"/>
    <col min="4" max="4" width="11.6640625" customWidth="1"/>
    <col min="5" max="6" width="10.6640625" customWidth="1"/>
    <col min="7" max="7" width="12.6640625" customWidth="1"/>
  </cols>
  <sheetData>
    <row r="1" spans="1:7" x14ac:dyDescent="0.3">
      <c r="A1" s="11" t="s">
        <v>0</v>
      </c>
      <c r="B1" s="11"/>
      <c r="C1" s="11" t="s">
        <v>3</v>
      </c>
      <c r="D1" s="11"/>
      <c r="E1" s="13" t="s">
        <v>6</v>
      </c>
      <c r="F1" s="13"/>
      <c r="G1" s="11" t="s">
        <v>17</v>
      </c>
    </row>
    <row r="2" spans="1:7" x14ac:dyDescent="0.3">
      <c r="A2" s="11" t="s">
        <v>1</v>
      </c>
      <c r="B2" s="11" t="s">
        <v>2</v>
      </c>
      <c r="C2" s="11" t="s">
        <v>4</v>
      </c>
      <c r="D2" s="11" t="s">
        <v>2</v>
      </c>
      <c r="E2" s="13" t="s">
        <v>16</v>
      </c>
      <c r="F2" s="13"/>
      <c r="G2" s="11"/>
    </row>
    <row r="3" spans="1:7" x14ac:dyDescent="0.3">
      <c r="A3" s="11"/>
      <c r="B3" s="11"/>
      <c r="C3" s="11"/>
      <c r="D3" s="11"/>
      <c r="E3" s="3" t="s">
        <v>8</v>
      </c>
      <c r="F3" s="2" t="s">
        <v>5</v>
      </c>
      <c r="G3" s="11"/>
    </row>
    <row r="4" spans="1:7" x14ac:dyDescent="0.3">
      <c r="A4" s="4" t="s">
        <v>21</v>
      </c>
      <c r="B4" s="4">
        <v>12</v>
      </c>
      <c r="C4" s="5" t="s">
        <v>35</v>
      </c>
      <c r="D4" s="5">
        <v>12</v>
      </c>
      <c r="E4" s="3">
        <v>2</v>
      </c>
      <c r="F4" s="2">
        <v>10</v>
      </c>
      <c r="G4" s="6"/>
    </row>
    <row r="5" spans="1:7" x14ac:dyDescent="0.3">
      <c r="A5" s="4" t="s">
        <v>25</v>
      </c>
      <c r="B5" s="4">
        <v>44</v>
      </c>
      <c r="C5" s="5" t="s">
        <v>25</v>
      </c>
      <c r="D5" s="5">
        <v>44</v>
      </c>
      <c r="E5" s="3">
        <v>4</v>
      </c>
      <c r="F5" s="2">
        <v>40</v>
      </c>
      <c r="G5" s="6"/>
    </row>
    <row r="6" spans="1:7" x14ac:dyDescent="0.3">
      <c r="A6" s="14" t="s">
        <v>27</v>
      </c>
      <c r="B6" s="14">
        <v>4</v>
      </c>
      <c r="C6" s="5" t="s">
        <v>40</v>
      </c>
      <c r="D6" s="5">
        <v>3</v>
      </c>
      <c r="E6" s="3"/>
      <c r="F6" s="2">
        <v>3</v>
      </c>
      <c r="G6" s="6"/>
    </row>
    <row r="7" spans="1:7" x14ac:dyDescent="0.3">
      <c r="A7" s="14"/>
      <c r="B7" s="14"/>
      <c r="C7" s="5" t="s">
        <v>27</v>
      </c>
      <c r="D7" s="5">
        <v>1</v>
      </c>
      <c r="E7" s="3"/>
      <c r="F7" s="2">
        <v>1</v>
      </c>
      <c r="G7" s="6"/>
    </row>
    <row r="8" spans="1:7" x14ac:dyDescent="0.3">
      <c r="A8" s="8" t="s">
        <v>583</v>
      </c>
      <c r="B8" s="8">
        <f>SUM(B3:B7)</f>
        <v>60</v>
      </c>
      <c r="C8" s="8"/>
      <c r="D8" s="8">
        <f>SUM(D3:D7)</f>
        <v>60</v>
      </c>
      <c r="E8" s="8">
        <f>SUM(E3:E7)</f>
        <v>6</v>
      </c>
      <c r="F8" s="8">
        <f>SUM(F3:F7)</f>
        <v>54</v>
      </c>
    </row>
  </sheetData>
  <mergeCells count="11">
    <mergeCell ref="E1:F1"/>
    <mergeCell ref="E2:F2"/>
    <mergeCell ref="G1:G3"/>
    <mergeCell ref="A6:A7"/>
    <mergeCell ref="B6:B7"/>
    <mergeCell ref="A1:B1"/>
    <mergeCell ref="A2:A3"/>
    <mergeCell ref="B2:B3"/>
    <mergeCell ref="C1:D1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Overall Summary</vt:lpstr>
      <vt:lpstr>Audio and Codecs</vt:lpstr>
      <vt:lpstr>Direct Rendering Manager</vt:lpstr>
      <vt:lpstr>Error Detection And Correction</vt:lpstr>
      <vt:lpstr>IAA</vt:lpstr>
      <vt:lpstr>Low power subsystem (SPI, I2C)</vt:lpstr>
      <vt:lpstr>NMI</vt:lpstr>
      <vt:lpstr>Perf</vt:lpstr>
      <vt:lpstr>Power Management Core</vt:lpstr>
      <vt:lpstr>SRIOV</vt:lpstr>
      <vt:lpstr>Security</vt:lpstr>
      <vt:lpstr>Thermal Management</vt:lpstr>
      <vt:lpstr>Thunderbolt</vt:lpstr>
      <vt:lpstr>Versatile Processing Unit</vt:lpstr>
      <vt:lpstr>Feature Version Summary</vt:lpstr>
      <vt:lpstr>ARL-H Summary</vt:lpstr>
      <vt:lpstr>ARL-S Summary</vt:lpstr>
      <vt:lpstr>BMG-NX2 Summary</vt:lpstr>
      <vt:lpstr>NVL Summary</vt:lpstr>
      <vt:lpstr>PTL Summary</vt:lpstr>
      <vt:lpstr>PTL-H Summary</vt:lpstr>
      <vt:lpstr>PTL-U Summary</vt:lpstr>
      <vt:lpstr>WCL Summary</vt:lpstr>
      <vt:lpstr>X86-COMMON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Dutta, Ranjan</cp:lastModifiedBy>
  <dcterms:created xsi:type="dcterms:W3CDTF">2025-08-20T06:18:11Z</dcterms:created>
  <dcterms:modified xsi:type="dcterms:W3CDTF">2025-09-04T12:54:47Z</dcterms:modified>
</cp:coreProperties>
</file>
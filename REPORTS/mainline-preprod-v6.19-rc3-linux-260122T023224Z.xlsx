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Feb 2026/"/>
    </mc:Choice>
  </mc:AlternateContent>
  <xr:revisionPtr revIDLastSave="57" documentId="11_7DD823350E9EB1782AF7B528CBC74E4E21526691" xr6:coauthVersionLast="47" xr6:coauthVersionMax="47" xr10:uidLastSave="{3D2E4A35-1CD4-4367-A933-1F4D22A2FF69}"/>
  <bookViews>
    <workbookView minimized="1" xWindow="2484" yWindow="2808" windowWidth="21600" windowHeight="11232" activeTab="1" xr2:uid="{00000000-000D-0000-FFFF-FFFF00000000}"/>
  </bookViews>
  <sheets>
    <sheet name="Overall Summary" sheetId="1" r:id="rId1"/>
    <sheet name="Analysis" sheetId="6" r:id="rId2"/>
    <sheet name="Error Detection And Correction" sheetId="2" r:id="rId3"/>
    <sheet name="Perf" sheetId="3" r:id="rId4"/>
    <sheet name="Security" sheetId="4" r:id="rId5"/>
    <sheet name="Selftest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6" l="1"/>
  <c r="I7" i="6"/>
  <c r="I6" i="6"/>
  <c r="I5" i="6"/>
  <c r="I4" i="6"/>
  <c r="F7" i="6"/>
  <c r="F6" i="6"/>
  <c r="F5" i="6"/>
  <c r="F4" i="6"/>
  <c r="H8" i="6"/>
  <c r="G8" i="6"/>
  <c r="F8" i="6" s="1"/>
  <c r="E8" i="6"/>
  <c r="C8" i="6"/>
  <c r="E7" i="1"/>
  <c r="D7" i="1"/>
  <c r="B7" i="1"/>
</calcChain>
</file>

<file path=xl/sharedStrings.xml><?xml version="1.0" encoding="utf-8"?>
<sst xmlns="http://schemas.openxmlformats.org/spreadsheetml/2006/main" count="718" uniqueCount="269">
  <si>
    <t>Domain</t>
  </si>
  <si>
    <t>Domain Name</t>
  </si>
  <si>
    <t>Patch Count</t>
  </si>
  <si>
    <t>Feature</t>
  </si>
  <si>
    <t>Feature Name</t>
  </si>
  <si>
    <t>No-upstream</t>
  </si>
  <si>
    <t>Error Detection And Correction</t>
  </si>
  <si>
    <t>Perf</t>
  </si>
  <si>
    <t>Security</t>
  </si>
  <si>
    <t>Selftests</t>
  </si>
  <si>
    <t>All Total</t>
  </si>
  <si>
    <t>EDAC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</si>
  <si>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</si>
  <si>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</si>
  <si>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</si>
  <si>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</si>
  <si>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</si>
  <si>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</si>
  <si>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</si>
  <si>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</si>
  <si>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</si>
  <si>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EDAC/igen6: Add two Intel Amston Lake SoCs support</t>
  </si>
  <si>
    <t>EDAC/ieh: Add I/O device EDAC support for Intel Tiger Lake-H SoC</t>
  </si>
  <si>
    <t>EDAC/igen6: Add more Intel Panther Lake-H SoCs support</t>
  </si>
  <si>
    <t>EDAC/igen6: Add registration APIs for In-Band ECC error notification</t>
  </si>
  <si>
    <t>EDAC/igen6: Make masks of {MCHBAR, TOM, TOUUD, ECC_ERROR_LOG} configurable</t>
  </si>
  <si>
    <t>x86/mce: Add MCACOD code for generic I/O error</t>
  </si>
  <si>
    <t>EDAC/ieh: Add I/O device EDAC driver for Intel CPUs with IEH</t>
  </si>
  <si>
    <t>2026-01-05 09:37:43</t>
  </si>
  <si>
    <t>2024-06-12 03:17:03</t>
  </si>
  <si>
    <t>2025-11-26 03:07:47</t>
  </si>
  <si>
    <t>2023-07-26 10:59:21</t>
  </si>
  <si>
    <t>2023-03-22 00:09:44</t>
  </si>
  <si>
    <t>2025-01-08 08:03:48</t>
  </si>
  <si>
    <t>Public</t>
  </si>
  <si>
    <t>325bdc152fe4acc21ae33d83e8e4996fd66df7ad</t>
  </si>
  <si>
    <t>8888a19ef7b93ad1f90ac364caba8e51f0e33865</t>
  </si>
  <si>
    <t>998ecfb48cc5934c97acf666167a9197848867d8</t>
  </si>
  <si>
    <t>9e12d0f8412e9d8d6f9db80beb84ec90096c143c</t>
  </si>
  <si>
    <t>ba764fdd8a12ca9f52c3cf2555ee6ad0a5f96009</t>
  </si>
  <si>
    <t>cd8c0f471bd4959ac8f9f5ebfe2d0e75a23e668c</t>
  </si>
  <si>
    <t>eff0e33a5cc8b911e5fa9103d982da1206a0999d</t>
  </si>
  <si>
    <t>lkml review</t>
  </si>
  <si>
    <t>no upstream</t>
  </si>
  <si>
    <t>jie.wang@intel.com</t>
  </si>
  <si>
    <t>lili.li@intel.com</t>
  </si>
  <si>
    <t>This patch is for TGL and it will not be submitted upstream.</t>
  </si>
  <si>
    <t>FR: https://jira.devtools.intel.com/browse/LFE-15113FR: https://jira.devtools.intel.com/browse/LFE-15113</t>
  </si>
  <si>
    <t>This patch is for TGL and it will not be submitted upstream</t>
  </si>
  <si>
    <t>perf regs: Enable dumping of SIMD registers</t>
  </si>
  <si>
    <t>perf/x86: Enable SSP sampling using sample_regs_* fields</t>
  </si>
  <si>
    <t>perf/x86/intel: Add support for PEBS memory auxiliary info field in NVL</t>
  </si>
  <si>
    <t>KVM: Add a simplified wrapper for registering perf callbacks</t>
  </si>
  <si>
    <t>perf/x86/core: Plumb mediated PMU capability from x86_pmu to x86_pmu_cap</t>
  </si>
  <si>
    <t>KVM: x86/pmu: Reprogram mediated PMU event selectors on event filter updates</t>
  </si>
  <si>
    <t>KVM: VMX: Compartmentalize adding MSRs to host vs. guest auto-load list</t>
  </si>
  <si>
    <t>KVM: VMX: Add mediated PMU support for CPUs without "save perf global ctrl"</t>
  </si>
  <si>
    <t>KVM: VMX: Drop intermediate "guest" field from msr_autostore</t>
  </si>
  <si>
    <t>KVM: VMX: Initialize vmcs01.VM_EXIT_MSR_STORE_ADDR with list address</t>
  </si>
  <si>
    <t>perf: Add sampling support for SIMD registers</t>
  </si>
  <si>
    <t>KVM: x86/pmu: Implement AMD mediated PMU requirements</t>
  </si>
  <si>
    <t>perf/x86/msr: Make SMI and PPERF on by default</t>
  </si>
  <si>
    <t>perf/x86: Enable OPMASK sampling using sample_simd_pred_reg_* fields</t>
  </si>
  <si>
    <t>perf: Clean up perf ctx time</t>
  </si>
  <si>
    <t>KVM: x86/pmu: Elide WRMSRs when loading guest PMCs if values already match</t>
  </si>
  <si>
    <t>perf/x86/amd: Support PERF_PMU_CAP_MEDIATED_VPMU for AMD host</t>
  </si>
  <si>
    <t>perf Documentation: Correct branch stack sampling call-stack option</t>
  </si>
  <si>
    <t>KVM: VMX: Dedup code for adding MSR to VMCS's auto list</t>
  </si>
  <si>
    <t>perf/x86/intel: Add core PMU support for DMR</t>
  </si>
  <si>
    <t>perf/x86/intel: Only check GP counters for PEBS constraints validation</t>
  </si>
  <si>
    <t>KVM: nVMX: Add macros to simplify nested MSR interception setting</t>
  </si>
  <si>
    <t>KVM: x86/pmu: Snapshot host (i.e. perf's) reported PMU capabilities</t>
  </si>
  <si>
    <t>perf: Add APIs to load/put guest mediated PMU context</t>
  </si>
  <si>
    <t>perf: Add a EVENT_GUEST flag</t>
  </si>
  <si>
    <t>perf/x86/intel: Add rdpmc-user-disable support</t>
  </si>
  <si>
    <t>KVM: x86/pmu: Always stuff GuestOnly=1,HostOnly=0 for mediated PMCs on AMD</t>
  </si>
  <si>
    <t>KVM: VMX: Bug the VM if either MSR auto-load list is full</t>
  </si>
  <si>
    <t>perf/x86/intel/uncore: Update DMR uncore constraints preliminarily</t>
  </si>
  <si>
    <t>KVM: x86/pmu: Handle emulated instruction for mediated vPMU</t>
  </si>
  <si>
    <t>perf/x86/intel/uncore: Add IMH PMON support for Diamond Rapids</t>
  </si>
  <si>
    <t>perf: Add APIs to create/release mediated guest vPMUs</t>
  </si>
  <si>
    <t>perf evsel: Update the hint for the usage of the load latency event</t>
  </si>
  <si>
    <t>perf: Skip pmu_ctx based on event_type</t>
  </si>
  <si>
    <t>KVM: x86/pmu: Expose enable_mediated_pmu parameter to user space</t>
  </si>
  <si>
    <t>perf/x86: Use x86_perf_regs in the x86 nmi handler</t>
  </si>
  <si>
    <t>perf tools: Refactor precise_ip fallback logic</t>
  </si>
  <si>
    <t>perf: Eliminate duplicate arch-specific functions definations</t>
  </si>
  <si>
    <t>perf/x86/intel/uncore: Add freerunning event descriptor helper macro</t>
  </si>
  <si>
    <t>perf/x86/intel/cstate: Add Wildcat Lake support</t>
  </si>
  <si>
    <t>perf/x86/intel: Support PERF_PMU_CAP_MEDIATED_VPMU</t>
  </si>
  <si>
    <t>perf/x86/core: Do not set bit width for unavailable counters</t>
  </si>
  <si>
    <t>KVM: x86/pmu: Register PMI handler for mediated vPMU</t>
  </si>
  <si>
    <t>KVM: VMX: Set MSR index auto-load entry if and only if entry is "new"</t>
  </si>
  <si>
    <t>perf/x86/intel: Fix typo in comments of intel_put_event_constraints()</t>
  </si>
  <si>
    <t>perf/x86/intel: Support newly introduced 4 OMR MSRs for DMR &amp; NVL</t>
  </si>
  <si>
    <t>KVM: x86/pmu: Disallow emulation in the fastpath if mediated PMCs are active</t>
  </si>
  <si>
    <t>KVM: x86/pmu: Load/put mediated PMU context when entering/exiting guest</t>
  </si>
  <si>
    <t>perf/x86/intel/uncore: Add missing PMON units for Panther Lake</t>
  </si>
  <si>
    <t>KVM: x86/pmu: Implement Intel mediated PMU requirements and constraints</t>
  </si>
  <si>
    <t>KVM: VMX: Drop unused @entry_only param from add_atomic_switch_msr()</t>
  </si>
  <si>
    <t>perf: Move and rename has_extended_regs() for ARCH-specific use</t>
  </si>
  <si>
    <t>perf/x86/intel/uncore: Add Nova Lake support</t>
  </si>
  <si>
    <t>x86/fpu/xstate: Add xsaves_nmi() helper</t>
  </si>
  <si>
    <t>perf headers: Sync with the kernel headers</t>
  </si>
  <si>
    <t>KVM: x86/pmu: Disable RDPMC interception for compatible mediated vPMU</t>
  </si>
  <si>
    <t>perf/x86: Remove helper perf_events_lapic_init() from x86_pmu_enable()</t>
  </si>
  <si>
    <t>perf/x86: Introduce x86-specific x86_pmu_setup_regs_data()</t>
  </si>
  <si>
    <t>perf/x86/intel/uncore: Support IIO free-running counters on DMR</t>
  </si>
  <si>
    <t>perf/x86: Enable ZMM sampling using sample_simd_vec_reg_* fields</t>
  </si>
  <si>
    <t>KVM: x86/pmu: Introduce eventsel_hw to prepare for pmu event filtering</t>
  </si>
  <si>
    <t>KVM: x86/pmu: Load/save GLOBAL_CTRL via entry/exit fields for mediated PMU</t>
  </si>
  <si>
    <t>perf/x86/intel: Add support for PEBS memory auxiliary info field in DMR</t>
  </si>
  <si>
    <t>perf/x86: Enable XMM sampling using sample_simd_vec_reg_* fields</t>
  </si>
  <si>
    <t>KVM: x86/pmu: Add perf_capabilities field in struct kvm_host_values{}</t>
  </si>
  <si>
    <t>perf: Move security_perf_event_free() call to __free_event()</t>
  </si>
  <si>
    <t>perf/x86: Replace magic numbers with macros for attr_rdpmc</t>
  </si>
  <si>
    <t>perf/x86/intel: Enable arch-PEBS based SIMD/eGPRs/SSP sampling</t>
  </si>
  <si>
    <t>KVM: nVMX: Don't update msr_autostore count when saving TSC for vmcs12</t>
  </si>
  <si>
    <t>KVM: nVMX: Disable PMU MSR interception as appropriate while running L2</t>
  </si>
  <si>
    <t>KVM: VMX: Dedup code for removing MSR from VMCS's auto-load list</t>
  </si>
  <si>
    <t>KVM: nSVM: Disable PMU MSR interception as appropriate while running L2</t>
  </si>
  <si>
    <t>KVM: x86/pmu: Disable interception of select PMU MSRs for mediated vPMUs</t>
  </si>
  <si>
    <t>perf/x86/intel/uncore: Add dual PCI/MSR discovery support</t>
  </si>
  <si>
    <t>perf/x86: Fix typos and inconsistent indents in perf_event header</t>
  </si>
  <si>
    <t>perf parse-regs: Support new SIMD sampling format</t>
  </si>
  <si>
    <t>perf: Add generic exclude_guest support</t>
  </si>
  <si>
    <t>perf/x86: Enable YMM sampling using sample_simd_vec_reg_* fields</t>
  </si>
  <si>
    <t>perf/x86/intel/cstate: Add Diamond Rapids support</t>
  </si>
  <si>
    <t>perf/x86/intel/cstate: Add Nova Lake support</t>
  </si>
  <si>
    <t>perf/x86/intel/uncore: Fix die ID init and look up bugs</t>
  </si>
  <si>
    <t>perf/x86: Activate back-to-back NMI detection for arch-PEBS induced NMIs</t>
  </si>
  <si>
    <t>KVM: x86/pmu: Bypass perf checks when emulating mediated PMU counter accesses</t>
  </si>
  <si>
    <t>perf/x86/intel/uncore: Skip discovery table for offline dies</t>
  </si>
  <si>
    <t>perf/x86/intel: Enable PERF_PMU_CAP_SIMD_REGS capability</t>
  </si>
  <si>
    <t>KVM: x86/pmu: Insert #GP for invalid architectural PMU MSRs access</t>
  </si>
  <si>
    <t>perf/x86/core: Register a new vector for handling mediated guest PMIs</t>
  </si>
  <si>
    <t>perf pmu: Relax uncore wildcard matching to allow numeric suffix</t>
  </si>
  <si>
    <t>perf/x86/core: Add APIs to switch to/from mediated PMI vector (for KVM)</t>
  </si>
  <si>
    <t>perf/x86: Enable eGPRs sampling using sample_regs_* fields</t>
  </si>
  <si>
    <t>KVM: x86/pmu: Start stubbing in mediated PMU support</t>
  </si>
  <si>
    <t>perf/x86: Add support for XMM registers in non-PEBS and REGS_USER</t>
  </si>
  <si>
    <t>perf/x86/intel/uncore: Add CBB PMON support for Diamond Rapids</t>
  </si>
  <si>
    <t>perf/x86/intel: Add missing branch counters constraint apply</t>
  </si>
  <si>
    <t>2026-01-07 02:16:53</t>
  </si>
  <si>
    <t>2025-10-29 10:15:44</t>
  </si>
  <si>
    <t>2025-08-29 02:50:13</t>
  </si>
  <si>
    <t>2025-02-11 05:59:48</t>
  </si>
  <si>
    <t>2025-12-05 03:40:29</t>
  </si>
  <si>
    <t>2026-01-21 03:25:58</t>
  </si>
  <si>
    <t>2022-09-02 02:25:18</t>
  </si>
  <si>
    <t>2024-05-29 07:55:09</t>
  </si>
  <si>
    <t>2024-10-17 01:09:29</t>
  </si>
  <si>
    <t>2023-12-05 10:31:21</t>
  </si>
  <si>
    <t>00a37603b76101f2cb5d7f4ce01cd1d59b6d28bc</t>
  </si>
  <si>
    <t>037e897c81b8df69cf0fcef5ca8da8f952c75366</t>
  </si>
  <si>
    <t>06444bf26ce243fd51228cce2cce5e7ba4ddd406</t>
  </si>
  <si>
    <t>069f8e63955fae51d3fa97ff97cadb5346d5455e</t>
  </si>
  <si>
    <t>08e6317a6b05cb4b1f651056ecac08617a3ecf43</t>
  </si>
  <si>
    <t>0cfd79b83bccba459ddeba9c5f664ac3fa229032</t>
  </si>
  <si>
    <t>0e3694c703274d4b5945a3528c2de7172d7a8b4c</t>
  </si>
  <si>
    <t>157c7f74d94320e066e89b5823dcbd9f2fb89eac</t>
  </si>
  <si>
    <t>17e4adda7cd9125871ce1b04cf0fe76a7cc7a260</t>
  </si>
  <si>
    <t>186e1d373d90c1a87fb4e6297143c8545e40f879</t>
  </si>
  <si>
    <t>19181530888a0b5fa1d4bb10239cc2a6e249fe4e</t>
  </si>
  <si>
    <t>1aa85c0dc2ee4edc6de0c501a101e92ebcd05329</t>
  </si>
  <si>
    <t>22a5d526b70badb81b2fe2ef409729ec4161811c</t>
  </si>
  <si>
    <t>2904f19841960ed1def65381e94f61b2646fe563</t>
  </si>
  <si>
    <t>2b73aee704106677e2d93c6e2d3721ba177e591a</t>
  </si>
  <si>
    <t>2e3e1bf3fe87e9edc6c6a290a35089de56ee3a65</t>
  </si>
  <si>
    <t>3432d08b89a5613929d1791470ae29025ce67ed7</t>
  </si>
  <si>
    <t>3596ac4232e8d017b777baa82142d8b551d2222d</t>
  </si>
  <si>
    <t>3a688ee4b140ec310e1f527120db88f669508e79</t>
  </si>
  <si>
    <t>3b8771dc0c9278708d316a24021457482c60d384</t>
  </si>
  <si>
    <t>3dc9cabf350db35e85e1033a036dcd8339599f45</t>
  </si>
  <si>
    <t>414621909fa3a441261b63ab1d8c50b9a0817abc</t>
  </si>
  <si>
    <t>414db62139bdc0eda05429a918981a4ab53427d1</t>
  </si>
  <si>
    <t>42c62be7f1c590511ec7c22d27aed8b6131759ba</t>
  </si>
  <si>
    <t>43011ca0915e38d66057bb8f1c2b10efe89b31d5</t>
  </si>
  <si>
    <t>43526471f5b37da4a442ca4f30b5df5d00be470c</t>
  </si>
  <si>
    <t>46042763923cbba5b719a530746a913bbaf6d98a</t>
  </si>
  <si>
    <t>49494ef1f1495447a296f13a57616eda420b7a18</t>
  </si>
  <si>
    <t>4d747395c52afd4ff0fe1cb7d293f919a530c366</t>
  </si>
  <si>
    <t>4df27a28e69c157cb283a7bdfe50c8f53a367ef8</t>
  </si>
  <si>
    <t>4e228e90f64b7410f3016c44cd8795b2cb9f886c</t>
  </si>
  <si>
    <t>4e60152c3d4ad1cc8bfdcd18a5df1940a2917da1</t>
  </si>
  <si>
    <t>50d1722b404bf072cad717453bfa08b9eda7ef1b</t>
  </si>
  <si>
    <t>50eac1ab6ccfddf6cf2fe4174ec7598a8fc42794</t>
  </si>
  <si>
    <t>515a5301bf767e2be46280380e8f3d7ade1ea714</t>
  </si>
  <si>
    <t>51c01313c0213265820d22d2828c0a689979391d</t>
  </si>
  <si>
    <t>5837440027ba7e79ca440fe5fe09bf6dc5b352d1</t>
  </si>
  <si>
    <t>58ad8896c41d6449eda625f5e741ac78de034228</t>
  </si>
  <si>
    <t>5a608a6a3e0cdd8fdbcdbae8fceb37be3a2e77e2</t>
  </si>
  <si>
    <t>5cc5dec2d7aa3e223c0fb7b4550f8d1791577601</t>
  </si>
  <si>
    <t>6301fad8b52bad65a09104ad61ab640b0a043700</t>
  </si>
  <si>
    <t>63e8879b9452818e6d59f2f368de8f4caba589b5</t>
  </si>
  <si>
    <t>6911925f248f878cc18aa09eed7fb6abe4037d78</t>
  </si>
  <si>
    <t>694bc021fb9c307722faffc4edb5d898740c721b</t>
  </si>
  <si>
    <t>69b791ada6e7ef6559dc02ad830825dda5b23335</t>
  </si>
  <si>
    <t>6b49551a387b7ebf8cf92ea4e29f0394c78cdb50</t>
  </si>
  <si>
    <t>6c58ac687b4c852881f298b63fd2e5848d691e28</t>
  </si>
  <si>
    <t>6d26ca28c7b910f8cd0bc802135a2a00e9d82fe4</t>
  </si>
  <si>
    <t>7248eca0384c941f3a94930f3e39d5e15c7c7a26</t>
  </si>
  <si>
    <t>72cf0669d8e8bb5e04d210c55c5abc2248667f01</t>
  </si>
  <si>
    <t>73d0410c797b21cde2edc11ebf238e072c2010bf</t>
  </si>
  <si>
    <t>751168207fe271b115378d9af51320c178c62d31</t>
  </si>
  <si>
    <t>75f677da3ccc02c086843844a7c90551d9d17b0a</t>
  </si>
  <si>
    <t>7b3bbc67750f611f436cc9e6aa8d606e3913c4e5</t>
  </si>
  <si>
    <t>7e2e29a93678c02711097ea13fc61ca7276cf82a</t>
  </si>
  <si>
    <t>811380b22279613ced88a8fb6384efdfc6c946cc</t>
  </si>
  <si>
    <t>8bd97d860e0eea814ba2588f66de54c6d7eed965</t>
  </si>
  <si>
    <t>8c94d1dfd54eef6d30d8a57f869981ef49781390</t>
  </si>
  <si>
    <t>8f269c2499fba691f3563eaa43382a0c4cd8d60b</t>
  </si>
  <si>
    <t>9324d682c0d0cd753235678c7a53157a5e045260</t>
  </si>
  <si>
    <t>9a64b63bf63c9a40f7560dc4904660de1e48ba01</t>
  </si>
  <si>
    <t>9d09c978bf9a0b0dc8e17b01fd101c5bd75d589c</t>
  </si>
  <si>
    <t>9d7a045d74e9ee3634e78dd792ce621afa0ab933</t>
  </si>
  <si>
    <t>a30b3f576f5ba843cd76baf9a11d00a737d5f69d</t>
  </si>
  <si>
    <t>a885396358c6b9abfdec06dc5a52c5ecba1de899</t>
  </si>
  <si>
    <t>a9891f070619df216c7f0508ba3a39d17373113b</t>
  </si>
  <si>
    <t>aab091fa8ade118e8e85568e49b59e74104b93a4</t>
  </si>
  <si>
    <t>ab1d1ba73a480cc3b900f72f0a4b63b6a2ccec80</t>
  </si>
  <si>
    <t>ab37d3eb4b0752e5725d3dfe635feda0e9b92210</t>
  </si>
  <si>
    <t>ae97842e9af04fa304156f4050188e0d7b76fbc2</t>
  </si>
  <si>
    <t>b21e60d6a4eae64a03092cc9ce5fb03331a37d95</t>
  </si>
  <si>
    <t>b28d1651eb2d9d6fd90408c1661ceb5a88f27a37</t>
  </si>
  <si>
    <t>bd33b1880af03960b6d568dcae2ddce5c4c8ef08</t>
  </si>
  <si>
    <t>c4f253c4a5398788c6a23e72f33f0409733a3899</t>
  </si>
  <si>
    <t>c73513bc473dee3e49896086d927483a3c51f14d</t>
  </si>
  <si>
    <t>cc43a951d172bd73db43b37de3d607fc6612523b</t>
  </si>
  <si>
    <t>cc96239c75926d565975ab5605a0cb47f75ccfee</t>
  </si>
  <si>
    <t>d07dfe7ab674b31312acedb5b1ae625109c19117</t>
  </si>
  <si>
    <t>d10a8b6fdface8f5049235c2a77545d034da73ee</t>
  </si>
  <si>
    <t>d2330929bf3855dc3fdd9f9bf67b2f21b82b65c1</t>
  </si>
  <si>
    <t>d32f95995a56e4bca6301848aebd903691c0082e</t>
  </si>
  <si>
    <t>d3afe5a0a7fd009355e58669d00c737c7100878a</t>
  </si>
  <si>
    <t>d40c1ff0f8589874197b88d202945be406239d63</t>
  </si>
  <si>
    <t>dbe1ae492fae88aca19bf2c8044b87ba8bdbf2b9</t>
  </si>
  <si>
    <t>e7fce5fe5b4b9877acc2f2cf3072d7e97e04ddf7</t>
  </si>
  <si>
    <t>e91f558612321256659f85ab97b67b2b2c3a384a</t>
  </si>
  <si>
    <t>ec6fd34f84561e202228f30c621eaabf53975f0f</t>
  </si>
  <si>
    <t>ed0efe7998f8d30c6347a0e2a83be5346776662a</t>
  </si>
  <si>
    <t>ee056e974bf56e00cd47d4c338d4a4c02568a301</t>
  </si>
  <si>
    <t>eee2d7f6fd13e783e4a0b1db6749bf8d4a71094f</t>
  </si>
  <si>
    <t>ef9e93aa27cb803c1f512b603f0e7219d2783a10</t>
  </si>
  <si>
    <t>efe1ef791ac978cf8f5a0aad1bfb5e67fa21e06b</t>
  </si>
  <si>
    <t>f80da21fd6ea9e3480689c3603754cb1999e7ce9</t>
  </si>
  <si>
    <t>fe0452d52b161955c2ff88d9ac1a6c789c1ba272</t>
  </si>
  <si>
    <t>upstreamed</t>
  </si>
  <si>
    <t>51f34b1e650fc5843530266cea4341750bd1ae37</t>
  </si>
  <si>
    <t>v6.18-rc1</t>
  </si>
  <si>
    <t>[v6.19-rc3] Add SECURITY.md file</t>
  </si>
  <si>
    <t>Add updated TPR (TXT Protected Regions) support to kernel.</t>
  </si>
  <si>
    <t>2025-11-07 04:25:06</t>
  </si>
  <si>
    <t>2025-11-24 04:18:43</t>
  </si>
  <si>
    <t>c5645fc3bd136a354b1d8e4cd8cf3e1a23154b75</t>
  </si>
  <si>
    <t>b5c2923804443190bec1aa977fd226474eef58b2</t>
  </si>
  <si>
    <t>intel review</t>
  </si>
  <si>
    <t>blocked by ACPI API change, will start upstream once this done.</t>
  </si>
  <si>
    <t>selftests/x86: Add selftests include path for kselftest.h after centralization</t>
  </si>
  <si>
    <t>2026-01-21 07:31:17</t>
  </si>
  <si>
    <t>8336dbbba77f4353f435be3284fb8cdf1562aa37</t>
  </si>
  <si>
    <t>d9b40d7262a227442bf402ea0708dc94f438bb52</t>
  </si>
  <si>
    <t>v6.19-rc6</t>
  </si>
  <si>
    <t>hongli.li@intel.com</t>
  </si>
  <si>
    <t>Fixes: e6fbd1759c9e ("selftests: complete kselftest include centralization")</t>
  </si>
  <si>
    <t>Upstream</t>
  </si>
  <si>
    <t>No upstream plan</t>
  </si>
  <si>
    <t>Upstream track</t>
  </si>
  <si>
    <t>this is not to be upstreamed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</si>
</sst>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MLT v6.19-rc3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Analysis!$F$3</c:f>
              <c:strCache>
                <c:ptCount val="1"/>
                <c:pt idx="0">
                  <c:v>Upstream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Analysis!$D$4:$D$7</c:f>
              <c:strCache>
                <c:ptCount val="4"/>
                <c:pt idx="0">
                  <c:v>EDAC</c:v>
                </c:pt>
                <c:pt idx="1">
                  <c:v>Perf</c:v>
                </c:pt>
                <c:pt idx="2">
                  <c:v>Security</c:v>
                </c:pt>
                <c:pt idx="3">
                  <c:v>Selftests</c:v>
                </c:pt>
              </c:strCache>
            </c:strRef>
          </c:cat>
          <c:val>
            <c:numRef>
              <c:f>Analysis!$F$4:$F$7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A9-4A2D-8FA3-7023B4950254}"/>
            </c:ext>
          </c:extLst>
        </c:ser>
        <c:ser>
          <c:idx val="3"/>
          <c:order val="3"/>
          <c:tx>
            <c:strRef>
              <c:f>Analysis!$H$3</c:f>
              <c:strCache>
                <c:ptCount val="1"/>
                <c:pt idx="0">
                  <c:v>No upstream plan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Analysis!$D$4:$D$7</c:f>
              <c:strCache>
                <c:ptCount val="4"/>
                <c:pt idx="0">
                  <c:v>EDAC</c:v>
                </c:pt>
                <c:pt idx="1">
                  <c:v>Perf</c:v>
                </c:pt>
                <c:pt idx="2">
                  <c:v>Security</c:v>
                </c:pt>
                <c:pt idx="3">
                  <c:v>Selftests</c:v>
                </c:pt>
              </c:strCache>
            </c:strRef>
          </c:cat>
          <c:val>
            <c:numRef>
              <c:f>Analysis!$H$4:$H$7</c:f>
              <c:numCache>
                <c:formatCode>General</c:formatCode>
                <c:ptCount val="4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A9-4A2D-8FA3-7023B4950254}"/>
            </c:ext>
          </c:extLst>
        </c:ser>
        <c:ser>
          <c:idx val="4"/>
          <c:order val="4"/>
          <c:tx>
            <c:strRef>
              <c:f>Analysis!$I$3</c:f>
              <c:strCache>
                <c:ptCount val="1"/>
                <c:pt idx="0">
                  <c:v>Upstream track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Analysis!$D$4:$D$7</c:f>
              <c:strCache>
                <c:ptCount val="4"/>
                <c:pt idx="0">
                  <c:v>EDAC</c:v>
                </c:pt>
                <c:pt idx="1">
                  <c:v>Perf</c:v>
                </c:pt>
                <c:pt idx="2">
                  <c:v>Security</c:v>
                </c:pt>
                <c:pt idx="3">
                  <c:v>Selftests</c:v>
                </c:pt>
              </c:strCache>
            </c:strRef>
          </c:cat>
          <c:val>
            <c:numRef>
              <c:f>Analysis!$I$4:$I$7</c:f>
              <c:numCache>
                <c:formatCode>General</c:formatCode>
                <c:ptCount val="4"/>
                <c:pt idx="0">
                  <c:v>3</c:v>
                </c:pt>
                <c:pt idx="1">
                  <c:v>93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A9-4A2D-8FA3-7023B4950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60953680"/>
        <c:axId val="17609484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Analysis!$E$3</c15:sqref>
                        </c15:formulaRef>
                      </c:ext>
                    </c:extLst>
                    <c:strCache>
                      <c:ptCount val="1"/>
                      <c:pt idx="0">
                        <c:v>Patch Count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Analysis!$D$4:$D$7</c15:sqref>
                        </c15:formulaRef>
                      </c:ext>
                    </c:extLst>
                    <c:strCache>
                      <c:ptCount val="4"/>
                      <c:pt idx="0">
                        <c:v>EDAC</c:v>
                      </c:pt>
                      <c:pt idx="1">
                        <c:v>Perf</c:v>
                      </c:pt>
                      <c:pt idx="2">
                        <c:v>Security</c:v>
                      </c:pt>
                      <c:pt idx="3">
                        <c:v>Selftests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Analysis!$E$4:$E$7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</c:v>
                      </c:pt>
                      <c:pt idx="1">
                        <c:v>94</c:v>
                      </c:pt>
                      <c:pt idx="2">
                        <c:v>2</c:v>
                      </c:pt>
                      <c:pt idx="3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BA9-4A2D-8FA3-7023B495025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Analysis!$G$3</c15:sqref>
                        </c15:formulaRef>
                      </c:ext>
                    </c:extLst>
                    <c:strCache>
                      <c:ptCount val="1"/>
                      <c:pt idx="0">
                        <c:v>No-upstream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Analysis!$D$4:$D$7</c15:sqref>
                        </c15:formulaRef>
                      </c:ext>
                    </c:extLst>
                    <c:strCache>
                      <c:ptCount val="4"/>
                      <c:pt idx="0">
                        <c:v>EDAC</c:v>
                      </c:pt>
                      <c:pt idx="1">
                        <c:v>Perf</c:v>
                      </c:pt>
                      <c:pt idx="2">
                        <c:v>Security</c:v>
                      </c:pt>
                      <c:pt idx="3">
                        <c:v>Selftests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Analysis!$G$4:$G$7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</c:v>
                      </c:pt>
                      <c:pt idx="1">
                        <c:v>93</c:v>
                      </c:pt>
                      <c:pt idx="2">
                        <c:v>2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BA9-4A2D-8FA3-7023B4950254}"/>
                  </c:ext>
                </c:extLst>
              </c15:ser>
            </c15:filteredBarSeries>
          </c:ext>
        </c:extLst>
      </c:barChart>
      <c:catAx>
        <c:axId val="176095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48400"/>
        <c:crosses val="autoZero"/>
        <c:auto val="1"/>
        <c:lblAlgn val="ctr"/>
        <c:lblOffset val="100"/>
        <c:noMultiLvlLbl val="0"/>
      </c:catAx>
      <c:valAx>
        <c:axId val="176094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95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441960</xdr:colOff>
      <xdr:row>9</xdr:row>
      <xdr:rowOff>83820</xdr:rowOff>
    </xdr:from>
    <xdr:to>
      <xdr:col>8</xdr:col>
      <xdr:colOff>586740</xdr:colOff>
      <xdr:row>31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B3656B-7659-2916-D291-6F2FDBEDA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E7"/>
  <sheetViews>
    <sheetView workbookViewId="0">
      <selection activeCell="C13" sqref="C13"/>
    </sheetView>
  </sheetViews>
  <sheetFormatPr defaultRowHeight="13.8" x14ac:dyDescent="0.3"/>
  <cols>
    <col min="1" max="1" width="34.6640625" customWidth="1"/>
    <col min="2" max="2" width="11.6640625" customWidth="1"/>
    <col min="3" max="3" width="16.6640625" customWidth="1"/>
    <col min="4" max="4" width="11.6640625" customWidth="1"/>
    <col min="5" max="5" width="10.6640625" customWidth="1"/>
  </cols>
  <sheetData>
    <row r="1" spans="1:5" x14ac:dyDescent="0.3">
      <c r="A1" s="8" t="s">
        <v>0</v>
      </c>
      <c r="B1" s="8"/>
      <c r="C1" s="8" t="s">
        <v>3</v>
      </c>
      <c r="D1" s="8"/>
      <c r="E1" s="8"/>
    </row>
    <row r="2" spans="1:5" x14ac:dyDescent="0.3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 x14ac:dyDescent="0.3">
      <c r="A3" s="3" t="s">
        <v>6</v>
      </c>
      <c r="B3" s="3">
        <v>7</v>
      </c>
      <c r="C3" s="4" t="s">
        <v>11</v>
      </c>
      <c r="D3" s="4">
        <v>7</v>
      </c>
      <c r="E3" s="2">
        <v>7</v>
      </c>
    </row>
    <row r="4" spans="1:5" x14ac:dyDescent="0.3">
      <c r="A4" s="3" t="s">
        <v>7</v>
      </c>
      <c r="B4" s="3">
        <v>94</v>
      </c>
      <c r="C4" s="4" t="s">
        <v>7</v>
      </c>
      <c r="D4" s="4">
        <v>94</v>
      </c>
      <c r="E4" s="2">
        <v>93</v>
      </c>
    </row>
    <row r="5" spans="1:5" x14ac:dyDescent="0.3">
      <c r="A5" s="3" t="s">
        <v>8</v>
      </c>
      <c r="B5" s="3">
        <v>2</v>
      </c>
      <c r="C5" s="4" t="s">
        <v>8</v>
      </c>
      <c r="D5" s="4">
        <v>2</v>
      </c>
      <c r="E5" s="2">
        <v>2</v>
      </c>
    </row>
    <row r="6" spans="1:5" x14ac:dyDescent="0.3">
      <c r="A6" s="3" t="s">
        <v>9</v>
      </c>
      <c r="B6" s="3">
        <v>1</v>
      </c>
      <c r="C6" s="4" t="s">
        <v>9</v>
      </c>
      <c r="D6" s="4">
        <v>1</v>
      </c>
      <c r="E6" s="2"/>
    </row>
    <row r="7" spans="1:5" x14ac:dyDescent="0.3">
      <c r="A7" s="5" t="s">
        <v>10</v>
      </c>
      <c r="B7" s="5">
        <f>SUM(B3:B6)</f>
        <v>104</v>
      </c>
      <c r="C7" s="5"/>
      <c r="D7" s="5">
        <f>SUM(D3:D6)</f>
        <v>104</v>
      </c>
      <c r="E7" s="5">
        <f>SUM(E3:E6)</f>
        <v>102</v>
      </c>
    </row>
  </sheetData>
  <mergeCells count="2">
    <mergeCell ref="A1:B1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37C4-B801-4543-ACC9-E7F5BA6A3404}">
  <dimension ref="B2:I8"/>
  <sheetViews>
    <sheetView tabSelected="1" workbookViewId="0">
      <selection activeCell="K20" sqref="K20"/>
    </sheetView>
  </sheetViews>
  <sheetFormatPr defaultRowHeight="13.8" x14ac:dyDescent="0.3"/>
  <cols>
    <col min="2" max="2" width="11.88671875" customWidth="1"/>
    <col min="3" max="3" width="18.5546875" customWidth="1"/>
    <col min="4" max="4" width="11.77734375" customWidth="1"/>
    <col min="5" max="5" width="11.6640625" customWidth="1"/>
    <col min="7" max="7" width="11.6640625" customWidth="1"/>
    <col min="8" max="8" width="17.5546875" customWidth="1"/>
    <col min="9" max="9" width="14.88671875" customWidth="1"/>
  </cols>
  <sheetData>
    <row r="2" spans="2:9" x14ac:dyDescent="0.3">
      <c r="B2" s="8" t="s">
        <v>0</v>
      </c>
      <c r="C2" s="8"/>
      <c r="D2" s="9" t="s">
        <v>3</v>
      </c>
      <c r="E2" s="10"/>
      <c r="F2" s="10"/>
      <c r="G2" s="10"/>
      <c r="H2" s="10"/>
      <c r="I2" s="10"/>
    </row>
    <row r="3" spans="2:9" x14ac:dyDescent="0.3">
      <c r="B3" s="1" t="s">
        <v>1</v>
      </c>
      <c r="C3" s="1" t="s">
        <v>2</v>
      </c>
      <c r="D3" s="1" t="s">
        <v>4</v>
      </c>
      <c r="E3" s="1" t="s">
        <v>2</v>
      </c>
      <c r="F3" s="1" t="s">
        <v>265</v>
      </c>
      <c r="G3" s="2" t="s">
        <v>5</v>
      </c>
      <c r="H3" s="2" t="s">
        <v>266</v>
      </c>
      <c r="I3" s="2" t="s">
        <v>267</v>
      </c>
    </row>
    <row r="4" spans="2:9" x14ac:dyDescent="0.3">
      <c r="B4" s="3" t="s">
        <v>6</v>
      </c>
      <c r="C4" s="3">
        <v>7</v>
      </c>
      <c r="D4" s="4" t="s">
        <v>11</v>
      </c>
      <c r="E4" s="4">
        <v>7</v>
      </c>
      <c r="F4" s="11">
        <f>E4-G4</f>
        <v>0</v>
      </c>
      <c r="G4" s="2">
        <v>7</v>
      </c>
      <c r="H4" s="12">
        <v>4</v>
      </c>
      <c r="I4" s="13">
        <f>G4-H4</f>
        <v>3</v>
      </c>
    </row>
    <row r="5" spans="2:9" x14ac:dyDescent="0.3">
      <c r="B5" s="3" t="s">
        <v>7</v>
      </c>
      <c r="C5" s="3">
        <v>94</v>
      </c>
      <c r="D5" s="4" t="s">
        <v>7</v>
      </c>
      <c r="E5" s="4">
        <v>94</v>
      </c>
      <c r="F5" s="11">
        <f>E5-G5</f>
        <v>1</v>
      </c>
      <c r="G5" s="2">
        <v>93</v>
      </c>
      <c r="H5" s="12">
        <v>0</v>
      </c>
      <c r="I5" s="13">
        <f t="shared" ref="I5:I7" si="0">G5-H5</f>
        <v>93</v>
      </c>
    </row>
    <row r="6" spans="2:9" x14ac:dyDescent="0.3">
      <c r="B6" s="3" t="s">
        <v>8</v>
      </c>
      <c r="C6" s="3">
        <v>2</v>
      </c>
      <c r="D6" s="4" t="s">
        <v>8</v>
      </c>
      <c r="E6" s="4">
        <v>2</v>
      </c>
      <c r="F6" s="11">
        <f>E6-G6</f>
        <v>0</v>
      </c>
      <c r="G6" s="2">
        <v>2</v>
      </c>
      <c r="H6" s="12">
        <v>1</v>
      </c>
      <c r="I6" s="13">
        <f t="shared" si="0"/>
        <v>1</v>
      </c>
    </row>
    <row r="7" spans="2:9" x14ac:dyDescent="0.3">
      <c r="B7" s="3" t="s">
        <v>9</v>
      </c>
      <c r="C7" s="3">
        <v>1</v>
      </c>
      <c r="D7" s="4" t="s">
        <v>9</v>
      </c>
      <c r="E7" s="4">
        <v>1</v>
      </c>
      <c r="F7" s="11">
        <f>E7-G7</f>
        <v>1</v>
      </c>
      <c r="G7" s="2">
        <v>0</v>
      </c>
      <c r="H7" s="12">
        <v>0</v>
      </c>
      <c r="I7" s="13">
        <f t="shared" si="0"/>
        <v>0</v>
      </c>
    </row>
    <row r="8" spans="2:9" x14ac:dyDescent="0.3">
      <c r="B8" s="5" t="s">
        <v>10</v>
      </c>
      <c r="C8" s="5">
        <f>SUM(C4:C7)</f>
        <v>104</v>
      </c>
      <c r="D8" s="5"/>
      <c r="E8" s="5">
        <f>SUM(E4:E7)</f>
        <v>104</v>
      </c>
      <c r="F8" s="5">
        <f>E8-G8</f>
        <v>2</v>
      </c>
      <c r="G8" s="5">
        <f>SUM(G4:G7)</f>
        <v>102</v>
      </c>
      <c r="H8" s="5">
        <f>SUM(H4:H7)</f>
        <v>5</v>
      </c>
      <c r="I8" s="5">
        <f>G8-H8</f>
        <v>97</v>
      </c>
    </row>
  </sheetData>
  <mergeCells count="2">
    <mergeCell ref="B2:C2"/>
    <mergeCell ref="D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8"/>
  <sheetViews>
    <sheetView workbookViewId="0">
      <selection activeCell="E5" sqref="E5"/>
    </sheetView>
  </sheetViews>
  <sheetFormatPr defaultRowHeight="13.8" x14ac:dyDescent="0.3"/>
  <cols>
    <col min="1" max="1" width="78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19.6640625" customWidth="1"/>
    <col min="7" max="7" width="27.6640625" customWidth="1"/>
    <col min="8" max="8" width="22.6640625" customWidth="1"/>
    <col min="9" max="9" width="108.6640625" customWidth="1"/>
    <col min="10" max="10" width="11.6640625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3</v>
      </c>
    </row>
    <row r="2" spans="1:10" x14ac:dyDescent="0.3">
      <c r="A2" s="6" t="s">
        <v>21</v>
      </c>
      <c r="B2" t="s">
        <v>28</v>
      </c>
      <c r="C2" t="s">
        <v>34</v>
      </c>
      <c r="D2" t="s">
        <v>35</v>
      </c>
      <c r="E2" t="s">
        <v>42</v>
      </c>
      <c r="J2" t="s">
        <v>11</v>
      </c>
    </row>
    <row r="3" spans="1:10" x14ac:dyDescent="0.3">
      <c r="A3" s="6" t="s">
        <v>22</v>
      </c>
      <c r="B3" t="s">
        <v>29</v>
      </c>
      <c r="C3" t="s">
        <v>34</v>
      </c>
      <c r="D3" t="s">
        <v>36</v>
      </c>
      <c r="E3" t="s">
        <v>43</v>
      </c>
      <c r="H3" t="s">
        <v>44</v>
      </c>
      <c r="I3" t="s">
        <v>46</v>
      </c>
      <c r="J3" t="s">
        <v>11</v>
      </c>
    </row>
    <row r="4" spans="1:10" x14ac:dyDescent="0.3">
      <c r="A4" s="6" t="s">
        <v>23</v>
      </c>
      <c r="B4" t="s">
        <v>30</v>
      </c>
      <c r="C4" t="s">
        <v>34</v>
      </c>
      <c r="D4" t="s">
        <v>37</v>
      </c>
      <c r="E4" t="s">
        <v>42</v>
      </c>
      <c r="H4" t="s">
        <v>45</v>
      </c>
      <c r="I4" t="s">
        <v>47</v>
      </c>
      <c r="J4" t="s">
        <v>11</v>
      </c>
    </row>
    <row r="5" spans="1:10" x14ac:dyDescent="0.3">
      <c r="A5" s="6" t="s">
        <v>24</v>
      </c>
      <c r="B5" t="s">
        <v>31</v>
      </c>
      <c r="C5" t="s">
        <v>34</v>
      </c>
      <c r="D5" t="s">
        <v>38</v>
      </c>
      <c r="E5" t="s">
        <v>43</v>
      </c>
      <c r="H5" t="s">
        <v>44</v>
      </c>
      <c r="I5" t="s">
        <v>48</v>
      </c>
      <c r="J5" t="s">
        <v>11</v>
      </c>
    </row>
    <row r="6" spans="1:10" x14ac:dyDescent="0.3">
      <c r="A6" s="6" t="s">
        <v>25</v>
      </c>
      <c r="B6" t="s">
        <v>28</v>
      </c>
      <c r="C6" t="s">
        <v>34</v>
      </c>
      <c r="D6" t="s">
        <v>39</v>
      </c>
      <c r="E6" t="s">
        <v>42</v>
      </c>
      <c r="J6" t="s">
        <v>11</v>
      </c>
    </row>
    <row r="7" spans="1:10" x14ac:dyDescent="0.3">
      <c r="A7" s="6" t="s">
        <v>26</v>
      </c>
      <c r="B7" t="s">
        <v>32</v>
      </c>
      <c r="C7" t="s">
        <v>34</v>
      </c>
      <c r="D7" t="s">
        <v>40</v>
      </c>
      <c r="E7" t="s">
        <v>43</v>
      </c>
      <c r="H7" t="s">
        <v>44</v>
      </c>
      <c r="I7" t="s">
        <v>46</v>
      </c>
      <c r="J7" t="s">
        <v>11</v>
      </c>
    </row>
    <row r="8" spans="1:10" x14ac:dyDescent="0.3">
      <c r="A8" s="6" t="s">
        <v>27</v>
      </c>
      <c r="B8" t="s">
        <v>33</v>
      </c>
      <c r="C8" t="s">
        <v>34</v>
      </c>
      <c r="D8" t="s">
        <v>41</v>
      </c>
      <c r="E8" t="s">
        <v>43</v>
      </c>
      <c r="H8" t="s">
        <v>44</v>
      </c>
      <c r="I8" t="s">
        <v>48</v>
      </c>
      <c r="J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95"/>
  <sheetViews>
    <sheetView topLeftCell="A64" workbookViewId="0"/>
  </sheetViews>
  <sheetFormatPr defaultRowHeight="13.8" x14ac:dyDescent="0.3"/>
  <cols>
    <col min="1" max="1" width="80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3</v>
      </c>
    </row>
    <row r="2" spans="1:10" x14ac:dyDescent="0.3">
      <c r="A2" s="6" t="s">
        <v>49</v>
      </c>
      <c r="B2" t="s">
        <v>143</v>
      </c>
      <c r="C2" t="s">
        <v>34</v>
      </c>
      <c r="D2" t="s">
        <v>153</v>
      </c>
      <c r="E2" t="s">
        <v>42</v>
      </c>
      <c r="J2" t="s">
        <v>7</v>
      </c>
    </row>
    <row r="3" spans="1:10" x14ac:dyDescent="0.3">
      <c r="A3" s="6" t="s">
        <v>50</v>
      </c>
      <c r="B3" t="s">
        <v>143</v>
      </c>
      <c r="C3" t="s">
        <v>34</v>
      </c>
      <c r="D3" t="s">
        <v>154</v>
      </c>
      <c r="E3" t="s">
        <v>42</v>
      </c>
      <c r="J3" t="s">
        <v>7</v>
      </c>
    </row>
    <row r="4" spans="1:10" x14ac:dyDescent="0.3">
      <c r="A4" s="6" t="s">
        <v>51</v>
      </c>
      <c r="B4" t="s">
        <v>144</v>
      </c>
      <c r="C4" t="s">
        <v>34</v>
      </c>
      <c r="D4" t="s">
        <v>155</v>
      </c>
      <c r="E4" t="s">
        <v>42</v>
      </c>
      <c r="J4" t="s">
        <v>7</v>
      </c>
    </row>
    <row r="5" spans="1:10" x14ac:dyDescent="0.3">
      <c r="A5" s="6" t="s">
        <v>52</v>
      </c>
      <c r="B5" t="s">
        <v>143</v>
      </c>
      <c r="C5" t="s">
        <v>34</v>
      </c>
      <c r="D5" t="s">
        <v>156</v>
      </c>
      <c r="E5" t="s">
        <v>42</v>
      </c>
      <c r="J5" t="s">
        <v>7</v>
      </c>
    </row>
    <row r="6" spans="1:10" x14ac:dyDescent="0.3">
      <c r="A6" s="6" t="s">
        <v>53</v>
      </c>
      <c r="B6" t="s">
        <v>143</v>
      </c>
      <c r="C6" t="s">
        <v>34</v>
      </c>
      <c r="D6" t="s">
        <v>157</v>
      </c>
      <c r="E6" t="s">
        <v>42</v>
      </c>
      <c r="J6" t="s">
        <v>7</v>
      </c>
    </row>
    <row r="7" spans="1:10" x14ac:dyDescent="0.3">
      <c r="A7" s="6" t="s">
        <v>54</v>
      </c>
      <c r="B7" t="s">
        <v>145</v>
      </c>
      <c r="C7" t="s">
        <v>34</v>
      </c>
      <c r="D7" t="s">
        <v>158</v>
      </c>
      <c r="E7" t="s">
        <v>42</v>
      </c>
      <c r="J7" t="s">
        <v>7</v>
      </c>
    </row>
    <row r="8" spans="1:10" x14ac:dyDescent="0.3">
      <c r="A8" s="6" t="s">
        <v>55</v>
      </c>
      <c r="B8" t="s">
        <v>143</v>
      </c>
      <c r="C8" t="s">
        <v>34</v>
      </c>
      <c r="D8" t="s">
        <v>159</v>
      </c>
      <c r="E8" t="s">
        <v>42</v>
      </c>
      <c r="J8" t="s">
        <v>7</v>
      </c>
    </row>
    <row r="9" spans="1:10" x14ac:dyDescent="0.3">
      <c r="A9" s="6" t="s">
        <v>56</v>
      </c>
      <c r="B9" t="s">
        <v>143</v>
      </c>
      <c r="C9" t="s">
        <v>34</v>
      </c>
      <c r="D9" t="s">
        <v>160</v>
      </c>
      <c r="E9" t="s">
        <v>42</v>
      </c>
      <c r="J9" t="s">
        <v>7</v>
      </c>
    </row>
    <row r="10" spans="1:10" x14ac:dyDescent="0.3">
      <c r="A10" s="6" t="s">
        <v>57</v>
      </c>
      <c r="B10" t="s">
        <v>143</v>
      </c>
      <c r="C10" t="s">
        <v>34</v>
      </c>
      <c r="D10" t="s">
        <v>161</v>
      </c>
      <c r="E10" t="s">
        <v>42</v>
      </c>
      <c r="J10" t="s">
        <v>7</v>
      </c>
    </row>
    <row r="11" spans="1:10" x14ac:dyDescent="0.3">
      <c r="A11" s="6" t="s">
        <v>58</v>
      </c>
      <c r="B11" t="s">
        <v>143</v>
      </c>
      <c r="C11" t="s">
        <v>34</v>
      </c>
      <c r="D11" t="s">
        <v>162</v>
      </c>
      <c r="E11" t="s">
        <v>42</v>
      </c>
      <c r="J11" t="s">
        <v>7</v>
      </c>
    </row>
    <row r="12" spans="1:10" x14ac:dyDescent="0.3">
      <c r="A12" s="6" t="s">
        <v>59</v>
      </c>
      <c r="B12" t="s">
        <v>143</v>
      </c>
      <c r="C12" t="s">
        <v>34</v>
      </c>
      <c r="D12" t="s">
        <v>163</v>
      </c>
      <c r="E12" t="s">
        <v>42</v>
      </c>
      <c r="J12" t="s">
        <v>7</v>
      </c>
    </row>
    <row r="13" spans="1:10" x14ac:dyDescent="0.3">
      <c r="A13" s="6" t="s">
        <v>60</v>
      </c>
      <c r="B13" t="s">
        <v>145</v>
      </c>
      <c r="C13" t="s">
        <v>34</v>
      </c>
      <c r="D13" t="s">
        <v>164</v>
      </c>
      <c r="E13" t="s">
        <v>42</v>
      </c>
      <c r="J13" t="s">
        <v>7</v>
      </c>
    </row>
    <row r="14" spans="1:10" x14ac:dyDescent="0.3">
      <c r="A14" s="6" t="s">
        <v>61</v>
      </c>
      <c r="B14" t="s">
        <v>146</v>
      </c>
      <c r="C14" t="s">
        <v>34</v>
      </c>
      <c r="D14" t="s">
        <v>165</v>
      </c>
      <c r="E14" t="s">
        <v>42</v>
      </c>
      <c r="J14" t="s">
        <v>7</v>
      </c>
    </row>
    <row r="15" spans="1:10" x14ac:dyDescent="0.3">
      <c r="A15" s="6" t="s">
        <v>62</v>
      </c>
      <c r="B15" t="s">
        <v>143</v>
      </c>
      <c r="C15" t="s">
        <v>34</v>
      </c>
      <c r="D15" t="s">
        <v>166</v>
      </c>
      <c r="E15" t="s">
        <v>42</v>
      </c>
      <c r="J15" t="s">
        <v>7</v>
      </c>
    </row>
    <row r="16" spans="1:10" x14ac:dyDescent="0.3">
      <c r="A16" s="6" t="s">
        <v>63</v>
      </c>
      <c r="B16" t="s">
        <v>147</v>
      </c>
      <c r="C16" t="s">
        <v>34</v>
      </c>
      <c r="D16" t="s">
        <v>167</v>
      </c>
      <c r="E16" t="s">
        <v>42</v>
      </c>
      <c r="J16" t="s">
        <v>7</v>
      </c>
    </row>
    <row r="17" spans="1:10" x14ac:dyDescent="0.3">
      <c r="A17" s="6" t="s">
        <v>64</v>
      </c>
      <c r="B17" t="s">
        <v>145</v>
      </c>
      <c r="C17" t="s">
        <v>34</v>
      </c>
      <c r="D17" t="s">
        <v>168</v>
      </c>
      <c r="E17" t="s">
        <v>42</v>
      </c>
      <c r="J17" t="s">
        <v>7</v>
      </c>
    </row>
    <row r="18" spans="1:10" x14ac:dyDescent="0.3">
      <c r="A18" s="6" t="s">
        <v>65</v>
      </c>
      <c r="B18" t="s">
        <v>146</v>
      </c>
      <c r="C18" t="s">
        <v>34</v>
      </c>
      <c r="D18" t="s">
        <v>169</v>
      </c>
      <c r="E18" t="s">
        <v>42</v>
      </c>
      <c r="J18" t="s">
        <v>7</v>
      </c>
    </row>
    <row r="19" spans="1:10" x14ac:dyDescent="0.3">
      <c r="A19" s="6" t="s">
        <v>66</v>
      </c>
      <c r="B19" t="s">
        <v>143</v>
      </c>
      <c r="C19" t="s">
        <v>34</v>
      </c>
      <c r="D19" t="s">
        <v>170</v>
      </c>
      <c r="E19" t="s">
        <v>42</v>
      </c>
      <c r="J19" t="s">
        <v>7</v>
      </c>
    </row>
    <row r="20" spans="1:10" x14ac:dyDescent="0.3">
      <c r="A20" s="6" t="s">
        <v>67</v>
      </c>
      <c r="B20" t="s">
        <v>143</v>
      </c>
      <c r="C20" t="s">
        <v>34</v>
      </c>
      <c r="D20" t="s">
        <v>171</v>
      </c>
      <c r="E20" t="s">
        <v>42</v>
      </c>
      <c r="J20" t="s">
        <v>7</v>
      </c>
    </row>
    <row r="21" spans="1:10" x14ac:dyDescent="0.3">
      <c r="A21" s="6" t="s">
        <v>68</v>
      </c>
      <c r="B21" t="s">
        <v>144</v>
      </c>
      <c r="C21" t="s">
        <v>34</v>
      </c>
      <c r="D21" t="s">
        <v>172</v>
      </c>
      <c r="E21" t="s">
        <v>42</v>
      </c>
      <c r="J21" t="s">
        <v>7</v>
      </c>
    </row>
    <row r="22" spans="1:10" x14ac:dyDescent="0.3">
      <c r="A22" s="6" t="s">
        <v>69</v>
      </c>
      <c r="B22" t="s">
        <v>143</v>
      </c>
      <c r="C22" t="s">
        <v>34</v>
      </c>
      <c r="D22" t="s">
        <v>173</v>
      </c>
      <c r="E22" t="s">
        <v>42</v>
      </c>
      <c r="J22" t="s">
        <v>7</v>
      </c>
    </row>
    <row r="23" spans="1:10" x14ac:dyDescent="0.3">
      <c r="A23" s="6" t="s">
        <v>70</v>
      </c>
      <c r="B23" t="s">
        <v>145</v>
      </c>
      <c r="C23" t="s">
        <v>34</v>
      </c>
      <c r="D23" t="s">
        <v>174</v>
      </c>
      <c r="E23" t="s">
        <v>42</v>
      </c>
      <c r="J23" t="s">
        <v>7</v>
      </c>
    </row>
    <row r="24" spans="1:10" x14ac:dyDescent="0.3">
      <c r="A24" s="7" t="s">
        <v>71</v>
      </c>
      <c r="B24" t="s">
        <v>148</v>
      </c>
      <c r="C24" t="s">
        <v>34</v>
      </c>
      <c r="D24" t="s">
        <v>175</v>
      </c>
      <c r="E24" t="s">
        <v>247</v>
      </c>
      <c r="F24" t="s">
        <v>248</v>
      </c>
      <c r="G24" t="s">
        <v>249</v>
      </c>
      <c r="J24" t="s">
        <v>7</v>
      </c>
    </row>
    <row r="25" spans="1:10" x14ac:dyDescent="0.3">
      <c r="A25" s="6" t="s">
        <v>72</v>
      </c>
      <c r="B25" t="s">
        <v>143</v>
      </c>
      <c r="C25" t="s">
        <v>34</v>
      </c>
      <c r="D25" t="s">
        <v>176</v>
      </c>
      <c r="E25" t="s">
        <v>42</v>
      </c>
      <c r="J25" t="s">
        <v>7</v>
      </c>
    </row>
    <row r="26" spans="1:10" x14ac:dyDescent="0.3">
      <c r="A26" s="6" t="s">
        <v>73</v>
      </c>
      <c r="B26" t="s">
        <v>145</v>
      </c>
      <c r="C26" t="s">
        <v>34</v>
      </c>
      <c r="D26" t="s">
        <v>177</v>
      </c>
      <c r="E26" t="s">
        <v>42</v>
      </c>
      <c r="J26" t="s">
        <v>7</v>
      </c>
    </row>
    <row r="27" spans="1:10" x14ac:dyDescent="0.3">
      <c r="A27" s="6" t="s">
        <v>74</v>
      </c>
      <c r="B27" t="s">
        <v>143</v>
      </c>
      <c r="C27" t="s">
        <v>34</v>
      </c>
      <c r="D27" t="s">
        <v>178</v>
      </c>
      <c r="E27" t="s">
        <v>42</v>
      </c>
      <c r="J27" t="s">
        <v>7</v>
      </c>
    </row>
    <row r="28" spans="1:10" x14ac:dyDescent="0.3">
      <c r="A28" s="6" t="s">
        <v>75</v>
      </c>
      <c r="B28" t="s">
        <v>145</v>
      </c>
      <c r="C28" t="s">
        <v>34</v>
      </c>
      <c r="D28" t="s">
        <v>179</v>
      </c>
      <c r="E28" t="s">
        <v>42</v>
      </c>
      <c r="J28" t="s">
        <v>7</v>
      </c>
    </row>
    <row r="29" spans="1:10" x14ac:dyDescent="0.3">
      <c r="A29" s="6" t="s">
        <v>76</v>
      </c>
      <c r="B29" t="s">
        <v>143</v>
      </c>
      <c r="C29" t="s">
        <v>34</v>
      </c>
      <c r="D29" t="s">
        <v>180</v>
      </c>
      <c r="E29" t="s">
        <v>42</v>
      </c>
      <c r="J29" t="s">
        <v>7</v>
      </c>
    </row>
    <row r="30" spans="1:10" x14ac:dyDescent="0.3">
      <c r="A30" s="6" t="s">
        <v>77</v>
      </c>
      <c r="B30" t="s">
        <v>143</v>
      </c>
      <c r="C30" t="s">
        <v>34</v>
      </c>
      <c r="D30" t="s">
        <v>181</v>
      </c>
      <c r="E30" t="s">
        <v>42</v>
      </c>
      <c r="J30" t="s">
        <v>7</v>
      </c>
    </row>
    <row r="31" spans="1:10" x14ac:dyDescent="0.3">
      <c r="A31" s="6" t="s">
        <v>78</v>
      </c>
      <c r="B31" t="s">
        <v>145</v>
      </c>
      <c r="C31" t="s">
        <v>34</v>
      </c>
      <c r="D31" t="s">
        <v>182</v>
      </c>
      <c r="E31" t="s">
        <v>42</v>
      </c>
      <c r="J31" t="s">
        <v>7</v>
      </c>
    </row>
    <row r="32" spans="1:10" x14ac:dyDescent="0.3">
      <c r="A32" s="6" t="s">
        <v>79</v>
      </c>
      <c r="B32" t="s">
        <v>143</v>
      </c>
      <c r="C32" t="s">
        <v>34</v>
      </c>
      <c r="D32" t="s">
        <v>183</v>
      </c>
      <c r="E32" t="s">
        <v>42</v>
      </c>
      <c r="J32" t="s">
        <v>7</v>
      </c>
    </row>
    <row r="33" spans="1:10" x14ac:dyDescent="0.3">
      <c r="A33" s="6" t="s">
        <v>80</v>
      </c>
      <c r="B33" t="s">
        <v>144</v>
      </c>
      <c r="C33" t="s">
        <v>34</v>
      </c>
      <c r="D33" t="s">
        <v>184</v>
      </c>
      <c r="E33" t="s">
        <v>42</v>
      </c>
      <c r="J33" t="s">
        <v>7</v>
      </c>
    </row>
    <row r="34" spans="1:10" x14ac:dyDescent="0.3">
      <c r="A34" s="6" t="s">
        <v>81</v>
      </c>
      <c r="B34" t="s">
        <v>149</v>
      </c>
      <c r="C34" t="s">
        <v>34</v>
      </c>
      <c r="D34" t="s">
        <v>185</v>
      </c>
      <c r="E34" t="s">
        <v>42</v>
      </c>
      <c r="J34" t="s">
        <v>7</v>
      </c>
    </row>
    <row r="35" spans="1:10" x14ac:dyDescent="0.3">
      <c r="A35" s="6" t="s">
        <v>82</v>
      </c>
      <c r="B35" t="s">
        <v>145</v>
      </c>
      <c r="C35" t="s">
        <v>34</v>
      </c>
      <c r="D35" t="s">
        <v>186</v>
      </c>
      <c r="E35" t="s">
        <v>42</v>
      </c>
      <c r="J35" t="s">
        <v>7</v>
      </c>
    </row>
    <row r="36" spans="1:10" x14ac:dyDescent="0.3">
      <c r="A36" s="6" t="s">
        <v>83</v>
      </c>
      <c r="B36" t="s">
        <v>145</v>
      </c>
      <c r="C36" t="s">
        <v>34</v>
      </c>
      <c r="D36" t="s">
        <v>187</v>
      </c>
      <c r="E36" t="s">
        <v>42</v>
      </c>
      <c r="J36" t="s">
        <v>7</v>
      </c>
    </row>
    <row r="37" spans="1:10" x14ac:dyDescent="0.3">
      <c r="A37" s="6" t="s">
        <v>84</v>
      </c>
      <c r="B37" t="s">
        <v>144</v>
      </c>
      <c r="C37" t="s">
        <v>34</v>
      </c>
      <c r="D37" t="s">
        <v>188</v>
      </c>
      <c r="E37" t="s">
        <v>42</v>
      </c>
      <c r="J37" t="s">
        <v>7</v>
      </c>
    </row>
    <row r="38" spans="1:10" x14ac:dyDescent="0.3">
      <c r="A38" s="6" t="s">
        <v>85</v>
      </c>
      <c r="B38" t="s">
        <v>144</v>
      </c>
      <c r="C38" t="s">
        <v>34</v>
      </c>
      <c r="D38" t="s">
        <v>189</v>
      </c>
      <c r="E38" t="s">
        <v>42</v>
      </c>
      <c r="J38" t="s">
        <v>7</v>
      </c>
    </row>
    <row r="39" spans="1:10" x14ac:dyDescent="0.3">
      <c r="A39" s="6" t="s">
        <v>86</v>
      </c>
      <c r="B39" t="s">
        <v>143</v>
      </c>
      <c r="C39" t="s">
        <v>34</v>
      </c>
      <c r="D39" t="s">
        <v>190</v>
      </c>
      <c r="E39" t="s">
        <v>42</v>
      </c>
      <c r="J39" t="s">
        <v>7</v>
      </c>
    </row>
    <row r="40" spans="1:10" x14ac:dyDescent="0.3">
      <c r="A40" s="6" t="s">
        <v>87</v>
      </c>
      <c r="B40" t="s">
        <v>143</v>
      </c>
      <c r="C40" t="s">
        <v>34</v>
      </c>
      <c r="D40" t="s">
        <v>191</v>
      </c>
      <c r="E40" t="s">
        <v>42</v>
      </c>
      <c r="J40" t="s">
        <v>7</v>
      </c>
    </row>
    <row r="41" spans="1:10" x14ac:dyDescent="0.3">
      <c r="A41" s="6" t="s">
        <v>88</v>
      </c>
      <c r="B41" t="s">
        <v>143</v>
      </c>
      <c r="C41" t="s">
        <v>34</v>
      </c>
      <c r="D41" t="s">
        <v>192</v>
      </c>
      <c r="E41" t="s">
        <v>42</v>
      </c>
      <c r="J41" t="s">
        <v>7</v>
      </c>
    </row>
    <row r="42" spans="1:10" x14ac:dyDescent="0.3">
      <c r="A42" s="6" t="s">
        <v>89</v>
      </c>
      <c r="B42" t="s">
        <v>143</v>
      </c>
      <c r="C42" t="s">
        <v>34</v>
      </c>
      <c r="D42" t="s">
        <v>193</v>
      </c>
      <c r="E42" t="s">
        <v>42</v>
      </c>
      <c r="J42" t="s">
        <v>7</v>
      </c>
    </row>
    <row r="43" spans="1:10" x14ac:dyDescent="0.3">
      <c r="A43" s="6" t="s">
        <v>90</v>
      </c>
      <c r="B43" t="s">
        <v>146</v>
      </c>
      <c r="C43" t="s">
        <v>34</v>
      </c>
      <c r="D43" t="s">
        <v>194</v>
      </c>
      <c r="E43" t="s">
        <v>42</v>
      </c>
      <c r="J43" t="s">
        <v>7</v>
      </c>
    </row>
    <row r="44" spans="1:10" x14ac:dyDescent="0.3">
      <c r="A44" s="6" t="s">
        <v>91</v>
      </c>
      <c r="B44" t="s">
        <v>145</v>
      </c>
      <c r="C44" t="s">
        <v>34</v>
      </c>
      <c r="D44" t="s">
        <v>195</v>
      </c>
      <c r="E44" t="s">
        <v>42</v>
      </c>
      <c r="J44" t="s">
        <v>7</v>
      </c>
    </row>
    <row r="45" spans="1:10" x14ac:dyDescent="0.3">
      <c r="A45" s="6" t="s">
        <v>92</v>
      </c>
      <c r="B45" t="s">
        <v>143</v>
      </c>
      <c r="C45" t="s">
        <v>34</v>
      </c>
      <c r="D45" t="s">
        <v>196</v>
      </c>
      <c r="E45" t="s">
        <v>42</v>
      </c>
      <c r="J45" t="s">
        <v>7</v>
      </c>
    </row>
    <row r="46" spans="1:10" x14ac:dyDescent="0.3">
      <c r="A46" s="6" t="s">
        <v>93</v>
      </c>
      <c r="B46" t="s">
        <v>150</v>
      </c>
      <c r="C46" t="s">
        <v>34</v>
      </c>
      <c r="D46" t="s">
        <v>197</v>
      </c>
      <c r="E46" t="s">
        <v>42</v>
      </c>
      <c r="J46" t="s">
        <v>7</v>
      </c>
    </row>
    <row r="47" spans="1:10" x14ac:dyDescent="0.3">
      <c r="A47" s="6" t="s">
        <v>94</v>
      </c>
      <c r="B47" t="s">
        <v>144</v>
      </c>
      <c r="C47" t="s">
        <v>34</v>
      </c>
      <c r="D47" t="s">
        <v>198</v>
      </c>
      <c r="E47" t="s">
        <v>42</v>
      </c>
      <c r="J47" t="s">
        <v>7</v>
      </c>
    </row>
    <row r="48" spans="1:10" x14ac:dyDescent="0.3">
      <c r="A48" s="6" t="s">
        <v>95</v>
      </c>
      <c r="B48" t="s">
        <v>144</v>
      </c>
      <c r="C48" t="s">
        <v>34</v>
      </c>
      <c r="D48" t="s">
        <v>199</v>
      </c>
      <c r="E48" t="s">
        <v>42</v>
      </c>
      <c r="J48" t="s">
        <v>7</v>
      </c>
    </row>
    <row r="49" spans="1:10" x14ac:dyDescent="0.3">
      <c r="A49" s="6" t="s">
        <v>96</v>
      </c>
      <c r="B49" t="s">
        <v>143</v>
      </c>
      <c r="C49" t="s">
        <v>34</v>
      </c>
      <c r="D49" t="s">
        <v>200</v>
      </c>
      <c r="E49" t="s">
        <v>42</v>
      </c>
      <c r="J49" t="s">
        <v>7</v>
      </c>
    </row>
    <row r="50" spans="1:10" x14ac:dyDescent="0.3">
      <c r="A50" s="6" t="s">
        <v>97</v>
      </c>
      <c r="B50" t="s">
        <v>143</v>
      </c>
      <c r="C50" t="s">
        <v>34</v>
      </c>
      <c r="D50" t="s">
        <v>201</v>
      </c>
      <c r="E50" t="s">
        <v>42</v>
      </c>
      <c r="J50" t="s">
        <v>7</v>
      </c>
    </row>
    <row r="51" spans="1:10" x14ac:dyDescent="0.3">
      <c r="A51" s="6" t="s">
        <v>98</v>
      </c>
      <c r="B51" t="s">
        <v>144</v>
      </c>
      <c r="C51" t="s">
        <v>34</v>
      </c>
      <c r="D51" t="s">
        <v>202</v>
      </c>
      <c r="E51" t="s">
        <v>42</v>
      </c>
      <c r="J51" t="s">
        <v>7</v>
      </c>
    </row>
    <row r="52" spans="1:10" x14ac:dyDescent="0.3">
      <c r="A52" s="6" t="s">
        <v>99</v>
      </c>
      <c r="B52" t="s">
        <v>143</v>
      </c>
      <c r="C52" t="s">
        <v>34</v>
      </c>
      <c r="D52" t="s">
        <v>203</v>
      </c>
      <c r="E52" t="s">
        <v>42</v>
      </c>
      <c r="J52" t="s">
        <v>7</v>
      </c>
    </row>
    <row r="53" spans="1:10" x14ac:dyDescent="0.3">
      <c r="A53" s="6" t="s">
        <v>100</v>
      </c>
      <c r="B53" t="s">
        <v>144</v>
      </c>
      <c r="C53" t="s">
        <v>34</v>
      </c>
      <c r="D53" t="s">
        <v>204</v>
      </c>
      <c r="E53" t="s">
        <v>42</v>
      </c>
      <c r="J53" t="s">
        <v>7</v>
      </c>
    </row>
    <row r="54" spans="1:10" x14ac:dyDescent="0.3">
      <c r="A54" s="6" t="s">
        <v>101</v>
      </c>
      <c r="B54" t="s">
        <v>143</v>
      </c>
      <c r="C54" t="s">
        <v>34</v>
      </c>
      <c r="D54" t="s">
        <v>205</v>
      </c>
      <c r="E54" t="s">
        <v>42</v>
      </c>
      <c r="J54" t="s">
        <v>7</v>
      </c>
    </row>
    <row r="55" spans="1:10" x14ac:dyDescent="0.3">
      <c r="A55" s="6" t="s">
        <v>102</v>
      </c>
      <c r="B55" t="s">
        <v>143</v>
      </c>
      <c r="C55" t="s">
        <v>34</v>
      </c>
      <c r="D55" t="s">
        <v>206</v>
      </c>
      <c r="E55" t="s">
        <v>42</v>
      </c>
      <c r="J55" t="s">
        <v>7</v>
      </c>
    </row>
    <row r="56" spans="1:10" x14ac:dyDescent="0.3">
      <c r="A56" s="6" t="s">
        <v>103</v>
      </c>
      <c r="B56" t="s">
        <v>143</v>
      </c>
      <c r="C56" t="s">
        <v>34</v>
      </c>
      <c r="D56" t="s">
        <v>207</v>
      </c>
      <c r="E56" t="s">
        <v>42</v>
      </c>
      <c r="J56" t="s">
        <v>7</v>
      </c>
    </row>
    <row r="57" spans="1:10" x14ac:dyDescent="0.3">
      <c r="A57" s="6" t="s">
        <v>104</v>
      </c>
      <c r="B57" t="s">
        <v>143</v>
      </c>
      <c r="C57" t="s">
        <v>34</v>
      </c>
      <c r="D57" t="s">
        <v>208</v>
      </c>
      <c r="E57" t="s">
        <v>42</v>
      </c>
      <c r="J57" t="s">
        <v>7</v>
      </c>
    </row>
    <row r="58" spans="1:10" x14ac:dyDescent="0.3">
      <c r="A58" s="6" t="s">
        <v>105</v>
      </c>
      <c r="B58" t="s">
        <v>150</v>
      </c>
      <c r="C58" t="s">
        <v>34</v>
      </c>
      <c r="D58" t="s">
        <v>209</v>
      </c>
      <c r="E58" t="s">
        <v>42</v>
      </c>
      <c r="J58" t="s">
        <v>7</v>
      </c>
    </row>
    <row r="59" spans="1:10" x14ac:dyDescent="0.3">
      <c r="A59" s="6" t="s">
        <v>106</v>
      </c>
      <c r="B59" t="s">
        <v>143</v>
      </c>
      <c r="C59" t="s">
        <v>34</v>
      </c>
      <c r="D59" t="s">
        <v>210</v>
      </c>
      <c r="E59" t="s">
        <v>42</v>
      </c>
      <c r="J59" t="s">
        <v>7</v>
      </c>
    </row>
    <row r="60" spans="1:10" x14ac:dyDescent="0.3">
      <c r="A60" s="6" t="s">
        <v>107</v>
      </c>
      <c r="B60" t="s">
        <v>143</v>
      </c>
      <c r="C60" t="s">
        <v>34</v>
      </c>
      <c r="D60" t="s">
        <v>211</v>
      </c>
      <c r="E60" t="s">
        <v>42</v>
      </c>
      <c r="J60" t="s">
        <v>7</v>
      </c>
    </row>
    <row r="61" spans="1:10" x14ac:dyDescent="0.3">
      <c r="A61" s="6" t="s">
        <v>108</v>
      </c>
      <c r="B61" t="s">
        <v>143</v>
      </c>
      <c r="C61" t="s">
        <v>34</v>
      </c>
      <c r="D61" t="s">
        <v>212</v>
      </c>
      <c r="E61" t="s">
        <v>42</v>
      </c>
      <c r="J61" t="s">
        <v>7</v>
      </c>
    </row>
    <row r="62" spans="1:10" x14ac:dyDescent="0.3">
      <c r="A62" s="6" t="s">
        <v>109</v>
      </c>
      <c r="B62" t="s">
        <v>145</v>
      </c>
      <c r="C62" t="s">
        <v>34</v>
      </c>
      <c r="D62" t="s">
        <v>213</v>
      </c>
      <c r="E62" t="s">
        <v>42</v>
      </c>
      <c r="J62" t="s">
        <v>7</v>
      </c>
    </row>
    <row r="63" spans="1:10" x14ac:dyDescent="0.3">
      <c r="A63" s="6" t="s">
        <v>110</v>
      </c>
      <c r="B63" t="s">
        <v>143</v>
      </c>
      <c r="C63" t="s">
        <v>34</v>
      </c>
      <c r="D63" t="s">
        <v>214</v>
      </c>
      <c r="E63" t="s">
        <v>42</v>
      </c>
      <c r="J63" t="s">
        <v>7</v>
      </c>
    </row>
    <row r="64" spans="1:10" x14ac:dyDescent="0.3">
      <c r="A64" s="6" t="s">
        <v>111</v>
      </c>
      <c r="B64" t="s">
        <v>144</v>
      </c>
      <c r="C64" t="s">
        <v>34</v>
      </c>
      <c r="D64" t="s">
        <v>215</v>
      </c>
      <c r="E64" t="s">
        <v>42</v>
      </c>
      <c r="J64" t="s">
        <v>7</v>
      </c>
    </row>
    <row r="65" spans="1:10" x14ac:dyDescent="0.3">
      <c r="A65" s="6" t="s">
        <v>112</v>
      </c>
      <c r="B65" t="s">
        <v>143</v>
      </c>
      <c r="C65" t="s">
        <v>34</v>
      </c>
      <c r="D65" t="s">
        <v>216</v>
      </c>
      <c r="E65" t="s">
        <v>42</v>
      </c>
      <c r="J65" t="s">
        <v>7</v>
      </c>
    </row>
    <row r="66" spans="1:10" x14ac:dyDescent="0.3">
      <c r="A66" s="6" t="s">
        <v>113</v>
      </c>
      <c r="B66" t="s">
        <v>143</v>
      </c>
      <c r="C66" t="s">
        <v>34</v>
      </c>
      <c r="D66" t="s">
        <v>217</v>
      </c>
      <c r="E66" t="s">
        <v>42</v>
      </c>
      <c r="J66" t="s">
        <v>7</v>
      </c>
    </row>
    <row r="67" spans="1:10" x14ac:dyDescent="0.3">
      <c r="A67" s="6" t="s">
        <v>114</v>
      </c>
      <c r="B67" t="s">
        <v>145</v>
      </c>
      <c r="C67" t="s">
        <v>34</v>
      </c>
      <c r="D67" t="s">
        <v>218</v>
      </c>
      <c r="E67" t="s">
        <v>42</v>
      </c>
      <c r="J67" t="s">
        <v>7</v>
      </c>
    </row>
    <row r="68" spans="1:10" x14ac:dyDescent="0.3">
      <c r="A68" s="6" t="s">
        <v>115</v>
      </c>
      <c r="B68" t="s">
        <v>151</v>
      </c>
      <c r="C68" t="s">
        <v>34</v>
      </c>
      <c r="D68" t="s">
        <v>219</v>
      </c>
      <c r="E68" t="s">
        <v>42</v>
      </c>
      <c r="J68" t="s">
        <v>7</v>
      </c>
    </row>
    <row r="69" spans="1:10" x14ac:dyDescent="0.3">
      <c r="A69" s="6" t="s">
        <v>116</v>
      </c>
      <c r="B69" t="s">
        <v>143</v>
      </c>
      <c r="C69" t="s">
        <v>34</v>
      </c>
      <c r="D69" t="s">
        <v>220</v>
      </c>
      <c r="E69" t="s">
        <v>42</v>
      </c>
      <c r="J69" t="s">
        <v>7</v>
      </c>
    </row>
    <row r="70" spans="1:10" x14ac:dyDescent="0.3">
      <c r="A70" s="6" t="s">
        <v>117</v>
      </c>
      <c r="B70" t="s">
        <v>143</v>
      </c>
      <c r="C70" t="s">
        <v>34</v>
      </c>
      <c r="D70" t="s">
        <v>221</v>
      </c>
      <c r="E70" t="s">
        <v>42</v>
      </c>
      <c r="J70" t="s">
        <v>7</v>
      </c>
    </row>
    <row r="71" spans="1:10" x14ac:dyDescent="0.3">
      <c r="A71" s="6" t="s">
        <v>118</v>
      </c>
      <c r="B71" t="s">
        <v>144</v>
      </c>
      <c r="C71" t="s">
        <v>34</v>
      </c>
      <c r="D71" t="s">
        <v>222</v>
      </c>
      <c r="E71" t="s">
        <v>42</v>
      </c>
      <c r="J71" t="s">
        <v>7</v>
      </c>
    </row>
    <row r="72" spans="1:10" x14ac:dyDescent="0.3">
      <c r="A72" s="6" t="s">
        <v>119</v>
      </c>
      <c r="B72" t="s">
        <v>143</v>
      </c>
      <c r="C72" t="s">
        <v>34</v>
      </c>
      <c r="D72" t="s">
        <v>223</v>
      </c>
      <c r="E72" t="s">
        <v>42</v>
      </c>
      <c r="J72" t="s">
        <v>7</v>
      </c>
    </row>
    <row r="73" spans="1:10" x14ac:dyDescent="0.3">
      <c r="A73" s="6" t="s">
        <v>120</v>
      </c>
      <c r="B73" t="s">
        <v>145</v>
      </c>
      <c r="C73" t="s">
        <v>34</v>
      </c>
      <c r="D73" t="s">
        <v>224</v>
      </c>
      <c r="E73" t="s">
        <v>42</v>
      </c>
      <c r="J73" t="s">
        <v>7</v>
      </c>
    </row>
    <row r="74" spans="1:10" x14ac:dyDescent="0.3">
      <c r="A74" s="6" t="s">
        <v>121</v>
      </c>
      <c r="B74" t="s">
        <v>143</v>
      </c>
      <c r="C74" t="s">
        <v>34</v>
      </c>
      <c r="D74" t="s">
        <v>225</v>
      </c>
      <c r="E74" t="s">
        <v>42</v>
      </c>
      <c r="J74" t="s">
        <v>7</v>
      </c>
    </row>
    <row r="75" spans="1:10" x14ac:dyDescent="0.3">
      <c r="A75" s="6" t="s">
        <v>122</v>
      </c>
      <c r="B75" t="s">
        <v>143</v>
      </c>
      <c r="C75" t="s">
        <v>34</v>
      </c>
      <c r="D75" t="s">
        <v>226</v>
      </c>
      <c r="E75" t="s">
        <v>42</v>
      </c>
      <c r="J75" t="s">
        <v>7</v>
      </c>
    </row>
    <row r="76" spans="1:10" x14ac:dyDescent="0.3">
      <c r="A76" s="6" t="s">
        <v>123</v>
      </c>
      <c r="B76" t="s">
        <v>152</v>
      </c>
      <c r="C76" t="s">
        <v>34</v>
      </c>
      <c r="D76" t="s">
        <v>227</v>
      </c>
      <c r="E76" t="s">
        <v>42</v>
      </c>
      <c r="J76" t="s">
        <v>7</v>
      </c>
    </row>
    <row r="77" spans="1:10" x14ac:dyDescent="0.3">
      <c r="A77" s="6" t="s">
        <v>124</v>
      </c>
      <c r="B77" t="s">
        <v>143</v>
      </c>
      <c r="C77" t="s">
        <v>34</v>
      </c>
      <c r="D77" t="s">
        <v>228</v>
      </c>
      <c r="E77" t="s">
        <v>42</v>
      </c>
      <c r="J77" t="s">
        <v>7</v>
      </c>
    </row>
    <row r="78" spans="1:10" x14ac:dyDescent="0.3">
      <c r="A78" s="6" t="s">
        <v>125</v>
      </c>
      <c r="B78" t="s">
        <v>145</v>
      </c>
      <c r="C78" t="s">
        <v>34</v>
      </c>
      <c r="D78" t="s">
        <v>229</v>
      </c>
      <c r="E78" t="s">
        <v>42</v>
      </c>
      <c r="J78" t="s">
        <v>7</v>
      </c>
    </row>
    <row r="79" spans="1:10" x14ac:dyDescent="0.3">
      <c r="A79" s="6" t="s">
        <v>126</v>
      </c>
      <c r="B79" t="s">
        <v>143</v>
      </c>
      <c r="C79" t="s">
        <v>34</v>
      </c>
      <c r="D79" t="s">
        <v>230</v>
      </c>
      <c r="E79" t="s">
        <v>42</v>
      </c>
      <c r="J79" t="s">
        <v>7</v>
      </c>
    </row>
    <row r="80" spans="1:10" x14ac:dyDescent="0.3">
      <c r="A80" s="6" t="s">
        <v>127</v>
      </c>
      <c r="B80" t="s">
        <v>144</v>
      </c>
      <c r="C80" t="s">
        <v>34</v>
      </c>
      <c r="D80" t="s">
        <v>231</v>
      </c>
      <c r="E80" t="s">
        <v>42</v>
      </c>
      <c r="J80" t="s">
        <v>7</v>
      </c>
    </row>
    <row r="81" spans="1:10" x14ac:dyDescent="0.3">
      <c r="A81" s="6" t="s">
        <v>128</v>
      </c>
      <c r="B81" t="s">
        <v>143</v>
      </c>
      <c r="C81" t="s">
        <v>34</v>
      </c>
      <c r="D81" t="s">
        <v>232</v>
      </c>
      <c r="E81" t="s">
        <v>42</v>
      </c>
      <c r="J81" t="s">
        <v>7</v>
      </c>
    </row>
    <row r="82" spans="1:10" x14ac:dyDescent="0.3">
      <c r="A82" s="6" t="s">
        <v>129</v>
      </c>
      <c r="B82" t="s">
        <v>143</v>
      </c>
      <c r="C82" t="s">
        <v>34</v>
      </c>
      <c r="D82" t="s">
        <v>233</v>
      </c>
      <c r="E82" t="s">
        <v>42</v>
      </c>
      <c r="J82" t="s">
        <v>7</v>
      </c>
    </row>
    <row r="83" spans="1:10" x14ac:dyDescent="0.3">
      <c r="A83" s="6" t="s">
        <v>130</v>
      </c>
      <c r="B83" t="s">
        <v>143</v>
      </c>
      <c r="C83" t="s">
        <v>34</v>
      </c>
      <c r="D83" t="s">
        <v>234</v>
      </c>
      <c r="E83" t="s">
        <v>42</v>
      </c>
      <c r="J83" t="s">
        <v>7</v>
      </c>
    </row>
    <row r="84" spans="1:10" x14ac:dyDescent="0.3">
      <c r="A84" s="6" t="s">
        <v>131</v>
      </c>
      <c r="B84" t="s">
        <v>145</v>
      </c>
      <c r="C84" t="s">
        <v>34</v>
      </c>
      <c r="D84" t="s">
        <v>235</v>
      </c>
      <c r="E84" t="s">
        <v>42</v>
      </c>
      <c r="J84" t="s">
        <v>7</v>
      </c>
    </row>
    <row r="85" spans="1:10" x14ac:dyDescent="0.3">
      <c r="A85" s="6" t="s">
        <v>132</v>
      </c>
      <c r="B85" t="s">
        <v>143</v>
      </c>
      <c r="C85" t="s">
        <v>34</v>
      </c>
      <c r="D85" t="s">
        <v>236</v>
      </c>
      <c r="E85" t="s">
        <v>42</v>
      </c>
      <c r="J85" t="s">
        <v>7</v>
      </c>
    </row>
    <row r="86" spans="1:10" x14ac:dyDescent="0.3">
      <c r="A86" s="6" t="s">
        <v>133</v>
      </c>
      <c r="B86" t="s">
        <v>143</v>
      </c>
      <c r="C86" t="s">
        <v>34</v>
      </c>
      <c r="D86" t="s">
        <v>237</v>
      </c>
      <c r="E86" t="s">
        <v>42</v>
      </c>
      <c r="J86" t="s">
        <v>7</v>
      </c>
    </row>
    <row r="87" spans="1:10" x14ac:dyDescent="0.3">
      <c r="A87" s="6" t="s">
        <v>134</v>
      </c>
      <c r="B87" t="s">
        <v>144</v>
      </c>
      <c r="C87" t="s">
        <v>34</v>
      </c>
      <c r="D87" t="s">
        <v>238</v>
      </c>
      <c r="E87" t="s">
        <v>42</v>
      </c>
      <c r="J87" t="s">
        <v>7</v>
      </c>
    </row>
    <row r="88" spans="1:10" x14ac:dyDescent="0.3">
      <c r="A88" s="6" t="s">
        <v>135</v>
      </c>
      <c r="B88" t="s">
        <v>145</v>
      </c>
      <c r="C88" t="s">
        <v>34</v>
      </c>
      <c r="D88" t="s">
        <v>239</v>
      </c>
      <c r="E88" t="s">
        <v>42</v>
      </c>
      <c r="J88" t="s">
        <v>7</v>
      </c>
    </row>
    <row r="89" spans="1:10" x14ac:dyDescent="0.3">
      <c r="A89" s="6" t="s">
        <v>136</v>
      </c>
      <c r="B89" t="s">
        <v>143</v>
      </c>
      <c r="C89" t="s">
        <v>34</v>
      </c>
      <c r="D89" t="s">
        <v>240</v>
      </c>
      <c r="E89" t="s">
        <v>42</v>
      </c>
      <c r="J89" t="s">
        <v>7</v>
      </c>
    </row>
    <row r="90" spans="1:10" x14ac:dyDescent="0.3">
      <c r="A90" s="6" t="s">
        <v>137</v>
      </c>
      <c r="B90" t="s">
        <v>143</v>
      </c>
      <c r="C90" t="s">
        <v>34</v>
      </c>
      <c r="D90" t="s">
        <v>241</v>
      </c>
      <c r="E90" t="s">
        <v>42</v>
      </c>
      <c r="J90" t="s">
        <v>7</v>
      </c>
    </row>
    <row r="91" spans="1:10" x14ac:dyDescent="0.3">
      <c r="A91" s="6" t="s">
        <v>138</v>
      </c>
      <c r="B91" t="s">
        <v>143</v>
      </c>
      <c r="C91" t="s">
        <v>34</v>
      </c>
      <c r="D91" t="s">
        <v>242</v>
      </c>
      <c r="E91" t="s">
        <v>42</v>
      </c>
      <c r="J91" t="s">
        <v>7</v>
      </c>
    </row>
    <row r="92" spans="1:10" x14ac:dyDescent="0.3">
      <c r="A92" s="6" t="s">
        <v>139</v>
      </c>
      <c r="B92" t="s">
        <v>143</v>
      </c>
      <c r="C92" t="s">
        <v>34</v>
      </c>
      <c r="D92" t="s">
        <v>243</v>
      </c>
      <c r="E92" t="s">
        <v>42</v>
      </c>
      <c r="J92" t="s">
        <v>7</v>
      </c>
    </row>
    <row r="93" spans="1:10" x14ac:dyDescent="0.3">
      <c r="A93" s="6" t="s">
        <v>140</v>
      </c>
      <c r="B93" t="s">
        <v>143</v>
      </c>
      <c r="C93" t="s">
        <v>34</v>
      </c>
      <c r="D93" t="s">
        <v>244</v>
      </c>
      <c r="E93" t="s">
        <v>42</v>
      </c>
      <c r="J93" t="s">
        <v>7</v>
      </c>
    </row>
    <row r="94" spans="1:10" x14ac:dyDescent="0.3">
      <c r="A94" s="6" t="s">
        <v>141</v>
      </c>
      <c r="B94" t="s">
        <v>143</v>
      </c>
      <c r="C94" t="s">
        <v>34</v>
      </c>
      <c r="D94" t="s">
        <v>245</v>
      </c>
      <c r="E94" t="s">
        <v>42</v>
      </c>
      <c r="J94" t="s">
        <v>7</v>
      </c>
    </row>
    <row r="95" spans="1:10" x14ac:dyDescent="0.3">
      <c r="A95" s="6" t="s">
        <v>142</v>
      </c>
      <c r="B95" t="s">
        <v>143</v>
      </c>
      <c r="C95" t="s">
        <v>34</v>
      </c>
      <c r="D95" t="s">
        <v>246</v>
      </c>
      <c r="E95" t="s">
        <v>42</v>
      </c>
      <c r="J95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3"/>
  <sheetViews>
    <sheetView topLeftCell="D1" workbookViewId="0">
      <selection activeCell="I13" sqref="I13"/>
    </sheetView>
  </sheetViews>
  <sheetFormatPr defaultRowHeight="13.8" x14ac:dyDescent="0.3"/>
  <cols>
    <col min="1" max="1" width="62.6640625" customWidth="1"/>
    <col min="2" max="2" width="23.6640625" customWidth="1"/>
    <col min="3" max="3" width="18.6640625" customWidth="1"/>
    <col min="4" max="4" width="44.6640625" customWidth="1"/>
    <col min="5" max="5" width="16.6640625" customWidth="1"/>
    <col min="6" max="6" width="19.6640625" customWidth="1"/>
    <col min="7" max="7" width="27.6640625" customWidth="1"/>
    <col min="8" max="8" width="22.6640625" customWidth="1"/>
    <col min="9" max="9" width="67.6640625" customWidth="1"/>
    <col min="10" max="10" width="11.6640625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3</v>
      </c>
    </row>
    <row r="2" spans="1:10" x14ac:dyDescent="0.3">
      <c r="A2" s="6" t="s">
        <v>250</v>
      </c>
      <c r="B2" t="s">
        <v>252</v>
      </c>
      <c r="C2" t="s">
        <v>34</v>
      </c>
      <c r="D2" t="s">
        <v>254</v>
      </c>
      <c r="E2" t="s">
        <v>43</v>
      </c>
      <c r="I2" t="s">
        <v>268</v>
      </c>
      <c r="J2" t="s">
        <v>8</v>
      </c>
    </row>
    <row r="3" spans="1:10" x14ac:dyDescent="0.3">
      <c r="A3" s="6" t="s">
        <v>251</v>
      </c>
      <c r="B3" t="s">
        <v>253</v>
      </c>
      <c r="C3" t="s">
        <v>34</v>
      </c>
      <c r="D3" t="s">
        <v>255</v>
      </c>
      <c r="E3" t="s">
        <v>256</v>
      </c>
      <c r="H3" t="s">
        <v>45</v>
      </c>
      <c r="I3" t="s">
        <v>257</v>
      </c>
      <c r="J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J2"/>
  <sheetViews>
    <sheetView workbookViewId="0"/>
  </sheetViews>
  <sheetFormatPr defaultRowHeight="13.8" x14ac:dyDescent="0.3"/>
  <cols>
    <col min="1" max="1" width="82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80.6640625" customWidth="1"/>
    <col min="10" max="10" width="11.6640625" customWidth="1"/>
  </cols>
  <sheetData>
    <row r="1" spans="1:10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3</v>
      </c>
    </row>
    <row r="2" spans="1:10" x14ac:dyDescent="0.3">
      <c r="A2" s="7" t="s">
        <v>258</v>
      </c>
      <c r="B2" t="s">
        <v>259</v>
      </c>
      <c r="C2" t="s">
        <v>34</v>
      </c>
      <c r="D2" t="s">
        <v>260</v>
      </c>
      <c r="E2" t="s">
        <v>247</v>
      </c>
      <c r="F2" t="s">
        <v>261</v>
      </c>
      <c r="G2" t="s">
        <v>262</v>
      </c>
      <c r="H2" t="s">
        <v>263</v>
      </c>
      <c r="I2" t="s">
        <v>264</v>
      </c>
      <c r="J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 Summary</vt:lpstr>
      <vt:lpstr>Analysis</vt:lpstr>
      <vt:lpstr>Error Detection And Correction</vt:lpstr>
      <vt:lpstr>Perf</vt:lpstr>
      <vt:lpstr>Security</vt:lpstr>
      <vt:lpstr>Selftests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2026-02-04T01:48:53Z</dcterms:created>
  <dcterms:modified xsi:type="dcterms:W3CDTF">2026-02-06T18:14:33Z</dcterms:modified>
</cp:coreProperties>
</file>